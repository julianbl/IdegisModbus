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7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guel.Angel\Dropbox\MODBUS\Mapas\Mapa nuevo\Domotic S2- Control Connect\val 11\"/>
    </mc:Choice>
  </mc:AlternateContent>
  <xr:revisionPtr revIDLastSave="0" documentId="13_ncr:1_{731D22BE-4218-4E82-98AB-16901B9C5AB8}" xr6:coauthVersionLast="36" xr6:coauthVersionMax="36" xr10:uidLastSave="{00000000-0000-0000-0000-000000000000}"/>
  <bookViews>
    <workbookView xWindow="3150" yWindow="345" windowWidth="22515" windowHeight="12540" tabRatio="690" activeTab="1" xr2:uid="{00000000-000D-0000-FFFF-FFFF00000000}"/>
  </bookViews>
  <sheets>
    <sheet name="input" sheetId="12" r:id="rId1"/>
    <sheet name="holding" sheetId="13" r:id="rId2"/>
    <sheet name="inicio zonas" sheetId="17" r:id="rId3"/>
  </sheets>
  <externalReferences>
    <externalReference r:id="rId4"/>
  </externalReferences>
  <calcPr calcId="191029"/>
</workbook>
</file>

<file path=xl/calcChain.xml><?xml version="1.0" encoding="utf-8"?>
<calcChain xmlns="http://schemas.openxmlformats.org/spreadsheetml/2006/main">
  <c r="C376" i="13" l="1"/>
  <c r="C375" i="13"/>
  <c r="C374" i="13"/>
  <c r="C352" i="12" l="1"/>
  <c r="C351" i="12"/>
  <c r="C350" i="12"/>
  <c r="C349" i="12"/>
  <c r="C348" i="12"/>
  <c r="C347" i="12"/>
  <c r="C346" i="12"/>
  <c r="B331" i="12"/>
  <c r="B332" i="12" s="1"/>
  <c r="E330" i="12"/>
  <c r="C329" i="12"/>
  <c r="B128" i="12"/>
  <c r="C128" i="12" s="1"/>
  <c r="C127" i="12"/>
  <c r="C126" i="12"/>
  <c r="B180" i="13"/>
  <c r="B181" i="13" s="1"/>
  <c r="C179" i="13"/>
  <c r="C178" i="13"/>
  <c r="C216" i="13"/>
  <c r="C217" i="13"/>
  <c r="B218" i="13"/>
  <c r="C218" i="13" s="1"/>
  <c r="C233" i="13"/>
  <c r="C234" i="13"/>
  <c r="C235" i="13"/>
  <c r="B129" i="12" l="1"/>
  <c r="B130" i="12" s="1"/>
  <c r="B333" i="12"/>
  <c r="E332" i="12"/>
  <c r="E331" i="12"/>
  <c r="B131" i="12"/>
  <c r="C130" i="12"/>
  <c r="C181" i="13"/>
  <c r="B182" i="13"/>
  <c r="C180" i="13"/>
  <c r="B219" i="13"/>
  <c r="E219" i="13" s="1"/>
  <c r="E218" i="13"/>
  <c r="E217" i="13"/>
  <c r="C129" i="12" l="1"/>
  <c r="B334" i="12"/>
  <c r="E333" i="12"/>
  <c r="B132" i="12"/>
  <c r="C131" i="12"/>
  <c r="B183" i="13"/>
  <c r="C182" i="13"/>
  <c r="B220" i="13"/>
  <c r="C219" i="13"/>
  <c r="B335" i="12" l="1"/>
  <c r="E334" i="12"/>
  <c r="B133" i="12"/>
  <c r="C132" i="12"/>
  <c r="B184" i="13"/>
  <c r="C183" i="13"/>
  <c r="C220" i="13"/>
  <c r="E220" i="13"/>
  <c r="B221" i="13"/>
  <c r="B336" i="12" l="1"/>
  <c r="E335" i="12"/>
  <c r="C133" i="12"/>
  <c r="B134" i="12"/>
  <c r="B185" i="13"/>
  <c r="C184" i="13"/>
  <c r="E221" i="13"/>
  <c r="B222" i="13"/>
  <c r="C221" i="13"/>
  <c r="B337" i="12" l="1"/>
  <c r="E336" i="12"/>
  <c r="C134" i="12"/>
  <c r="B135" i="12"/>
  <c r="B186" i="13"/>
  <c r="C185" i="13"/>
  <c r="B223" i="13"/>
  <c r="C222" i="13"/>
  <c r="E222" i="13"/>
  <c r="B338" i="12" l="1"/>
  <c r="E337" i="12"/>
  <c r="B136" i="12"/>
  <c r="C135" i="12"/>
  <c r="B187" i="13"/>
  <c r="C186" i="13"/>
  <c r="C223" i="13"/>
  <c r="B224" i="13"/>
  <c r="E223" i="13"/>
  <c r="B339" i="12" l="1"/>
  <c r="E338" i="12"/>
  <c r="C136" i="12"/>
  <c r="B137" i="12"/>
  <c r="B188" i="13"/>
  <c r="C187" i="13"/>
  <c r="E224" i="13"/>
  <c r="B225" i="13"/>
  <c r="C224" i="13"/>
  <c r="B340" i="12" l="1"/>
  <c r="E339" i="12"/>
  <c r="B138" i="12"/>
  <c r="C137" i="12"/>
  <c r="B189" i="13"/>
  <c r="C188" i="13"/>
  <c r="E225" i="13"/>
  <c r="C225" i="13"/>
  <c r="B226" i="13"/>
  <c r="B341" i="12" l="1"/>
  <c r="E340" i="12"/>
  <c r="B139" i="12"/>
  <c r="C138" i="12"/>
  <c r="C189" i="13"/>
  <c r="B190" i="13"/>
  <c r="C226" i="13"/>
  <c r="B227" i="13"/>
  <c r="E226" i="13"/>
  <c r="B342" i="12" l="1"/>
  <c r="E341" i="12"/>
  <c r="B140" i="12"/>
  <c r="C139" i="12"/>
  <c r="B191" i="13"/>
  <c r="C190" i="13"/>
  <c r="E227" i="13"/>
  <c r="B228" i="13"/>
  <c r="C227" i="13"/>
  <c r="E342" i="12" l="1"/>
  <c r="B343" i="12"/>
  <c r="B141" i="12"/>
  <c r="E141" i="12" s="1"/>
  <c r="C140" i="12"/>
  <c r="E133" i="12"/>
  <c r="E138" i="12"/>
  <c r="E130" i="12"/>
  <c r="E135" i="12"/>
  <c r="E127" i="12"/>
  <c r="E140" i="12"/>
  <c r="E132" i="12"/>
  <c r="E134" i="12"/>
  <c r="E139" i="12"/>
  <c r="E131" i="12"/>
  <c r="E137" i="12"/>
  <c r="E129" i="12"/>
  <c r="E136" i="12"/>
  <c r="E128" i="12"/>
  <c r="B192" i="13"/>
  <c r="C191" i="13"/>
  <c r="E228" i="13"/>
  <c r="C228" i="13"/>
  <c r="B229" i="13"/>
  <c r="B344" i="12" l="1"/>
  <c r="E343" i="12"/>
  <c r="C141" i="12"/>
  <c r="B142" i="12"/>
  <c r="B193" i="13"/>
  <c r="C192" i="13"/>
  <c r="C229" i="13"/>
  <c r="B230" i="13"/>
  <c r="E229" i="13"/>
  <c r="B345" i="12" l="1"/>
  <c r="E345" i="12" s="1"/>
  <c r="E344" i="12"/>
  <c r="C142" i="12"/>
  <c r="E142" i="12"/>
  <c r="B194" i="13"/>
  <c r="C194" i="13" s="1"/>
  <c r="C193" i="13"/>
  <c r="E230" i="13"/>
  <c r="B231" i="13"/>
  <c r="C230" i="13"/>
  <c r="E231" i="13" l="1"/>
  <c r="C231" i="13"/>
  <c r="B232" i="13"/>
  <c r="C232" i="13" l="1"/>
  <c r="E232" i="13"/>
  <c r="C526" i="12" l="1"/>
  <c r="B528" i="12"/>
  <c r="B529" i="12" s="1"/>
  <c r="C543" i="12"/>
  <c r="C544" i="12"/>
  <c r="C545" i="12"/>
  <c r="C548" i="12"/>
  <c r="C549" i="12"/>
  <c r="C551" i="12"/>
  <c r="B553" i="12"/>
  <c r="B554" i="12" s="1"/>
  <c r="C694" i="13"/>
  <c r="E696" i="13" s="1"/>
  <c r="B696" i="13"/>
  <c r="B697" i="13" s="1"/>
  <c r="B698" i="13" s="1"/>
  <c r="B699" i="13" s="1"/>
  <c r="B700" i="13" s="1"/>
  <c r="B701" i="13" s="1"/>
  <c r="B702" i="13" s="1"/>
  <c r="B703" i="13" s="1"/>
  <c r="B704" i="13" s="1"/>
  <c r="B705" i="13" s="1"/>
  <c r="B706" i="13" s="1"/>
  <c r="B707" i="13" s="1"/>
  <c r="B708" i="13" s="1"/>
  <c r="B709" i="13" s="1"/>
  <c r="B710" i="13" s="1"/>
  <c r="C721" i="13"/>
  <c r="C720" i="13"/>
  <c r="C719" i="13"/>
  <c r="C718" i="13"/>
  <c r="C717" i="13"/>
  <c r="C716" i="13"/>
  <c r="E528" i="12" l="1"/>
  <c r="E527" i="12"/>
  <c r="E529" i="12"/>
  <c r="B530" i="12"/>
  <c r="E530" i="12" s="1"/>
  <c r="B555" i="12"/>
  <c r="E706" i="13"/>
  <c r="E698" i="13"/>
  <c r="E705" i="13"/>
  <c r="E697" i="13"/>
  <c r="E695" i="13"/>
  <c r="E703" i="13"/>
  <c r="E710" i="13"/>
  <c r="E702" i="13"/>
  <c r="E709" i="13"/>
  <c r="E701" i="13"/>
  <c r="E708" i="13"/>
  <c r="E700" i="13"/>
  <c r="E699" i="13"/>
  <c r="E707" i="13"/>
  <c r="E704" i="13"/>
  <c r="C258" i="13"/>
  <c r="C429" i="12"/>
  <c r="C412" i="12"/>
  <c r="C395" i="12"/>
  <c r="B531" i="12" l="1"/>
  <c r="E531" i="12" s="1"/>
  <c r="B556" i="12"/>
  <c r="C840" i="13"/>
  <c r="C823" i="13"/>
  <c r="E825" i="13" s="1"/>
  <c r="C806" i="13"/>
  <c r="E808" i="13" s="1"/>
  <c r="B842" i="13"/>
  <c r="B843" i="13" s="1"/>
  <c r="B825" i="13"/>
  <c r="B826" i="13" s="1"/>
  <c r="B808" i="13"/>
  <c r="B809" i="13" s="1"/>
  <c r="B532" i="12" l="1"/>
  <c r="E532" i="12" s="1"/>
  <c r="B557" i="12"/>
  <c r="E842" i="13"/>
  <c r="E824" i="13"/>
  <c r="E841" i="13"/>
  <c r="E807" i="13"/>
  <c r="E809" i="13"/>
  <c r="E826" i="13"/>
  <c r="E843" i="13"/>
  <c r="B810" i="13"/>
  <c r="E810" i="13" s="1"/>
  <c r="B844" i="13"/>
  <c r="E844" i="13" s="1"/>
  <c r="B827" i="13"/>
  <c r="E827" i="13" s="1"/>
  <c r="C586" i="12"/>
  <c r="B588" i="12"/>
  <c r="B589" i="12" s="1"/>
  <c r="C603" i="12"/>
  <c r="B605" i="12"/>
  <c r="B606" i="12" s="1"/>
  <c r="C805" i="13"/>
  <c r="C804" i="13"/>
  <c r="C803" i="13"/>
  <c r="B787" i="13"/>
  <c r="B788" i="13" s="1"/>
  <c r="C786" i="13"/>
  <c r="C762" i="13"/>
  <c r="B533" i="12" l="1"/>
  <c r="E533" i="12" s="1"/>
  <c r="B558" i="12"/>
  <c r="B845" i="13"/>
  <c r="E845" i="13" s="1"/>
  <c r="B811" i="13"/>
  <c r="E811" i="13" s="1"/>
  <c r="B828" i="13"/>
  <c r="E828" i="13" s="1"/>
  <c r="E605" i="12"/>
  <c r="E588" i="12"/>
  <c r="E587" i="12"/>
  <c r="E604" i="12"/>
  <c r="E606" i="12"/>
  <c r="B607" i="12"/>
  <c r="B608" i="12" s="1"/>
  <c r="E589" i="12"/>
  <c r="B590" i="12"/>
  <c r="B591" i="12" s="1"/>
  <c r="B789" i="13"/>
  <c r="C788" i="13"/>
  <c r="C787" i="13"/>
  <c r="C785" i="13"/>
  <c r="C569" i="12"/>
  <c r="B571" i="12"/>
  <c r="B572" i="12" s="1"/>
  <c r="C568" i="12"/>
  <c r="D24" i="17"/>
  <c r="E24" i="17"/>
  <c r="B534" i="12" l="1"/>
  <c r="E534" i="12" s="1"/>
  <c r="E558" i="12"/>
  <c r="E553" i="12"/>
  <c r="E552" i="12"/>
  <c r="E554" i="12"/>
  <c r="E555" i="12"/>
  <c r="E556" i="12"/>
  <c r="E557" i="12"/>
  <c r="E786" i="13"/>
  <c r="E787" i="13"/>
  <c r="E788" i="13"/>
  <c r="E789" i="13"/>
  <c r="B846" i="13"/>
  <c r="E846" i="13" s="1"/>
  <c r="B829" i="13"/>
  <c r="E829" i="13" s="1"/>
  <c r="B812" i="13"/>
  <c r="E812" i="13" s="1"/>
  <c r="E590" i="12"/>
  <c r="E591" i="12"/>
  <c r="B592" i="12"/>
  <c r="E607" i="12"/>
  <c r="E608" i="12"/>
  <c r="B609" i="12"/>
  <c r="E571" i="12"/>
  <c r="E572" i="12"/>
  <c r="E570" i="12"/>
  <c r="B790" i="13"/>
  <c r="E790" i="13" s="1"/>
  <c r="C789" i="13"/>
  <c r="B573" i="12"/>
  <c r="E573" i="12" s="1"/>
  <c r="C766" i="13"/>
  <c r="B768" i="13"/>
  <c r="B769" i="13" s="1"/>
  <c r="C769" i="13" s="1"/>
  <c r="C767" i="13"/>
  <c r="C745" i="13"/>
  <c r="B747" i="13"/>
  <c r="C747" i="13" s="1"/>
  <c r="C746" i="13"/>
  <c r="D23" i="17"/>
  <c r="E23" i="17"/>
  <c r="B535" i="12" l="1"/>
  <c r="E535" i="12" s="1"/>
  <c r="B748" i="13"/>
  <c r="C748" i="13" s="1"/>
  <c r="E768" i="13"/>
  <c r="E746" i="13"/>
  <c r="E747" i="13"/>
  <c r="E767" i="13"/>
  <c r="E769" i="13"/>
  <c r="B830" i="13"/>
  <c r="E830" i="13" s="1"/>
  <c r="B847" i="13"/>
  <c r="E847" i="13" s="1"/>
  <c r="B813" i="13"/>
  <c r="E813" i="13" s="1"/>
  <c r="B610" i="12"/>
  <c r="E609" i="12"/>
  <c r="B593" i="12"/>
  <c r="E592" i="12"/>
  <c r="B791" i="13"/>
  <c r="E791" i="13" s="1"/>
  <c r="C790" i="13"/>
  <c r="B574" i="12"/>
  <c r="E574" i="12" s="1"/>
  <c r="B770" i="13"/>
  <c r="E770" i="13" s="1"/>
  <c r="C768" i="13"/>
  <c r="C742" i="13"/>
  <c r="C741" i="13"/>
  <c r="B726" i="13"/>
  <c r="B727" i="13" s="1"/>
  <c r="C725" i="13"/>
  <c r="C724" i="13"/>
  <c r="B536" i="12" l="1"/>
  <c r="E536" i="12" s="1"/>
  <c r="E726" i="13"/>
  <c r="B749" i="13"/>
  <c r="E749" i="13" s="1"/>
  <c r="E748" i="13"/>
  <c r="B831" i="13"/>
  <c r="E831" i="13" s="1"/>
  <c r="B814" i="13"/>
  <c r="E814" i="13" s="1"/>
  <c r="B848" i="13"/>
  <c r="E848" i="13" s="1"/>
  <c r="B611" i="12"/>
  <c r="E610" i="12"/>
  <c r="B594" i="12"/>
  <c r="E593" i="12"/>
  <c r="B792" i="13"/>
  <c r="E792" i="13" s="1"/>
  <c r="C791" i="13"/>
  <c r="B575" i="12"/>
  <c r="E575" i="12" s="1"/>
  <c r="B771" i="13"/>
  <c r="E771" i="13" s="1"/>
  <c r="C770" i="13"/>
  <c r="C726" i="13"/>
  <c r="E727" i="13"/>
  <c r="E725" i="13"/>
  <c r="C727" i="13"/>
  <c r="B728" i="13"/>
  <c r="E728" i="13" s="1"/>
  <c r="E22" i="17"/>
  <c r="B537" i="12" l="1"/>
  <c r="E537" i="12" s="1"/>
  <c r="C749" i="13"/>
  <c r="B750" i="13"/>
  <c r="E750" i="13" s="1"/>
  <c r="B832" i="13"/>
  <c r="E832" i="13" s="1"/>
  <c r="B849" i="13"/>
  <c r="E849" i="13" s="1"/>
  <c r="B815" i="13"/>
  <c r="E815" i="13" s="1"/>
  <c r="B595" i="12"/>
  <c r="E594" i="12"/>
  <c r="B612" i="12"/>
  <c r="E611" i="12"/>
  <c r="B793" i="13"/>
  <c r="E793" i="13" s="1"/>
  <c r="C792" i="13"/>
  <c r="B576" i="12"/>
  <c r="E576" i="12" s="1"/>
  <c r="C771" i="13"/>
  <c r="B772" i="13"/>
  <c r="E772" i="13" s="1"/>
  <c r="C728" i="13"/>
  <c r="B729" i="13"/>
  <c r="E729" i="13" s="1"/>
  <c r="C56" i="13"/>
  <c r="B538" i="12" l="1"/>
  <c r="E538" i="12" s="1"/>
  <c r="B751" i="13"/>
  <c r="E751" i="13" s="1"/>
  <c r="C750" i="13"/>
  <c r="B816" i="13"/>
  <c r="E816" i="13" s="1"/>
  <c r="B850" i="13"/>
  <c r="E850" i="13" s="1"/>
  <c r="B833" i="13"/>
  <c r="E833" i="13" s="1"/>
  <c r="E612" i="12"/>
  <c r="B613" i="12"/>
  <c r="E595" i="12"/>
  <c r="B596" i="12"/>
  <c r="C793" i="13"/>
  <c r="B794" i="13"/>
  <c r="E794" i="13" s="1"/>
  <c r="B577" i="12"/>
  <c r="E577" i="12" s="1"/>
  <c r="B773" i="13"/>
  <c r="E773" i="13" s="1"/>
  <c r="C772" i="13"/>
  <c r="B730" i="13"/>
  <c r="E730" i="13" s="1"/>
  <c r="C729" i="13"/>
  <c r="C194" i="12"/>
  <c r="C193" i="12"/>
  <c r="C187" i="12"/>
  <c r="C188" i="12"/>
  <c r="C189" i="12"/>
  <c r="C190" i="12"/>
  <c r="C191" i="12"/>
  <c r="C192" i="12"/>
  <c r="C751" i="13" l="1"/>
  <c r="B752" i="13"/>
  <c r="E752" i="13" s="1"/>
  <c r="B539" i="12"/>
  <c r="E539" i="12" s="1"/>
  <c r="B834" i="13"/>
  <c r="E834" i="13" s="1"/>
  <c r="B851" i="13"/>
  <c r="E851" i="13" s="1"/>
  <c r="B817" i="13"/>
  <c r="E817" i="13" s="1"/>
  <c r="B597" i="12"/>
  <c r="E596" i="12"/>
  <c r="B614" i="12"/>
  <c r="E613" i="12"/>
  <c r="C794" i="13"/>
  <c r="B795" i="13"/>
  <c r="E795" i="13" s="1"/>
  <c r="B578" i="12"/>
  <c r="E578" i="12" s="1"/>
  <c r="B774" i="13"/>
  <c r="E774" i="13" s="1"/>
  <c r="C773" i="13"/>
  <c r="B731" i="13"/>
  <c r="E731" i="13" s="1"/>
  <c r="C730" i="13"/>
  <c r="C691" i="13"/>
  <c r="C690" i="13"/>
  <c r="C689" i="13"/>
  <c r="C688" i="13"/>
  <c r="C687" i="13"/>
  <c r="C686" i="13"/>
  <c r="C685" i="13"/>
  <c r="C684" i="13"/>
  <c r="C683" i="13"/>
  <c r="C682" i="13"/>
  <c r="C681" i="13"/>
  <c r="C680" i="13"/>
  <c r="C679" i="13"/>
  <c r="C678" i="13"/>
  <c r="C677" i="13"/>
  <c r="C676" i="13"/>
  <c r="C675" i="13"/>
  <c r="C674" i="13"/>
  <c r="C673" i="13"/>
  <c r="C672" i="13"/>
  <c r="C671" i="13"/>
  <c r="C670" i="13"/>
  <c r="C669" i="13"/>
  <c r="C668" i="13"/>
  <c r="C667" i="13"/>
  <c r="C666" i="13"/>
  <c r="C665" i="13"/>
  <c r="C664" i="13"/>
  <c r="C663" i="13"/>
  <c r="C662" i="13"/>
  <c r="C661" i="13"/>
  <c r="C660" i="13"/>
  <c r="C659" i="13"/>
  <c r="C658" i="13"/>
  <c r="C657" i="13"/>
  <c r="C656" i="13"/>
  <c r="C655" i="13"/>
  <c r="C654" i="13"/>
  <c r="C653" i="13"/>
  <c r="C652" i="13"/>
  <c r="C651" i="13"/>
  <c r="C650" i="13"/>
  <c r="C649" i="13"/>
  <c r="B753" i="13" l="1"/>
  <c r="E753" i="13" s="1"/>
  <c r="C752" i="13"/>
  <c r="B540" i="12"/>
  <c r="E540" i="12" s="1"/>
  <c r="B835" i="13"/>
  <c r="E835" i="13" s="1"/>
  <c r="B818" i="13"/>
  <c r="E818" i="13" s="1"/>
  <c r="B852" i="13"/>
  <c r="E852" i="13" s="1"/>
  <c r="E614" i="12"/>
  <c r="B615" i="12"/>
  <c r="E597" i="12"/>
  <c r="B598" i="12"/>
  <c r="C795" i="13"/>
  <c r="B796" i="13"/>
  <c r="E796" i="13" s="1"/>
  <c r="B579" i="12"/>
  <c r="E579" i="12" s="1"/>
  <c r="C774" i="13"/>
  <c r="B775" i="13"/>
  <c r="E775" i="13" s="1"/>
  <c r="B732" i="13"/>
  <c r="E732" i="13" s="1"/>
  <c r="C731" i="13"/>
  <c r="C333" i="13"/>
  <c r="C332" i="13"/>
  <c r="C331" i="13"/>
  <c r="C330" i="13"/>
  <c r="C329" i="13"/>
  <c r="C328" i="13"/>
  <c r="C327" i="13"/>
  <c r="C326" i="13"/>
  <c r="B754" i="13" l="1"/>
  <c r="E754" i="13" s="1"/>
  <c r="C753" i="13"/>
  <c r="B541" i="12"/>
  <c r="E541" i="12" s="1"/>
  <c r="B836" i="13"/>
  <c r="E836" i="13" s="1"/>
  <c r="B819" i="13"/>
  <c r="E819" i="13" s="1"/>
  <c r="B853" i="13"/>
  <c r="E853" i="13" s="1"/>
  <c r="B616" i="12"/>
  <c r="E615" i="12"/>
  <c r="B599" i="12"/>
  <c r="E598" i="12"/>
  <c r="C796" i="13"/>
  <c r="B797" i="13"/>
  <c r="E797" i="13" s="1"/>
  <c r="B580" i="12"/>
  <c r="E580" i="12" s="1"/>
  <c r="B776" i="13"/>
  <c r="E776" i="13" s="1"/>
  <c r="C775" i="13"/>
  <c r="C732" i="13"/>
  <c r="B733" i="13"/>
  <c r="E733" i="13" s="1"/>
  <c r="C648" i="13"/>
  <c r="C647" i="13"/>
  <c r="C646" i="13"/>
  <c r="C645" i="13"/>
  <c r="C644" i="13"/>
  <c r="C643" i="13"/>
  <c r="C642" i="13"/>
  <c r="C641" i="13"/>
  <c r="C640" i="13"/>
  <c r="C639" i="13"/>
  <c r="C638" i="13"/>
  <c r="B755" i="13" l="1"/>
  <c r="E755" i="13" s="1"/>
  <c r="C754" i="13"/>
  <c r="B542" i="12"/>
  <c r="E542" i="12" s="1"/>
  <c r="B820" i="13"/>
  <c r="E820" i="13" s="1"/>
  <c r="B837" i="13"/>
  <c r="E837" i="13" s="1"/>
  <c r="B854" i="13"/>
  <c r="E854" i="13" s="1"/>
  <c r="B600" i="12"/>
  <c r="E599" i="12"/>
  <c r="B617" i="12"/>
  <c r="E616" i="12"/>
  <c r="C797" i="13"/>
  <c r="B798" i="13"/>
  <c r="E798" i="13" s="1"/>
  <c r="B581" i="12"/>
  <c r="E581" i="12" s="1"/>
  <c r="C776" i="13"/>
  <c r="B777" i="13"/>
  <c r="E777" i="13" s="1"/>
  <c r="B756" i="13"/>
  <c r="C755" i="13"/>
  <c r="B734" i="13"/>
  <c r="E734" i="13" s="1"/>
  <c r="C733" i="13"/>
  <c r="C425" i="17"/>
  <c r="C326" i="12"/>
  <c r="C424" i="17"/>
  <c r="C325" i="12"/>
  <c r="B559" i="12" l="1"/>
  <c r="B821" i="13"/>
  <c r="E821" i="13" s="1"/>
  <c r="B855" i="13"/>
  <c r="E855" i="13" s="1"/>
  <c r="B838" i="13"/>
  <c r="E838" i="13" s="1"/>
  <c r="B618" i="12"/>
  <c r="E617" i="12"/>
  <c r="B601" i="12"/>
  <c r="E600" i="12"/>
  <c r="C798" i="13"/>
  <c r="B799" i="13"/>
  <c r="E799" i="13" s="1"/>
  <c r="B582" i="12"/>
  <c r="E582" i="12" s="1"/>
  <c r="C777" i="13"/>
  <c r="B778" i="13"/>
  <c r="E778" i="13" s="1"/>
  <c r="C756" i="13"/>
  <c r="B757" i="13"/>
  <c r="E756" i="13"/>
  <c r="B735" i="13"/>
  <c r="E735" i="13" s="1"/>
  <c r="C734" i="13"/>
  <c r="E12" i="13"/>
  <c r="B13" i="13"/>
  <c r="C13" i="13" s="1"/>
  <c r="C12" i="13"/>
  <c r="B560" i="12" l="1"/>
  <c r="E559" i="12"/>
  <c r="B822" i="13"/>
  <c r="E822" i="13" s="1"/>
  <c r="B839" i="13"/>
  <c r="E839" i="13" s="1"/>
  <c r="B856" i="13"/>
  <c r="E856" i="13" s="1"/>
  <c r="E601" i="12"/>
  <c r="B602" i="12"/>
  <c r="E602" i="12" s="1"/>
  <c r="E618" i="12"/>
  <c r="B619" i="12"/>
  <c r="E619" i="12" s="1"/>
  <c r="B800" i="13"/>
  <c r="E800" i="13" s="1"/>
  <c r="C799" i="13"/>
  <c r="B583" i="12"/>
  <c r="E583" i="12" s="1"/>
  <c r="C778" i="13"/>
  <c r="B779" i="13"/>
  <c r="E779" i="13" s="1"/>
  <c r="B758" i="13"/>
  <c r="E757" i="13"/>
  <c r="C757" i="13"/>
  <c r="C735" i="13"/>
  <c r="B736" i="13"/>
  <c r="E736" i="13" s="1"/>
  <c r="E13" i="13"/>
  <c r="B14" i="13"/>
  <c r="E14" i="13" s="1"/>
  <c r="B561" i="12" l="1"/>
  <c r="E560" i="12"/>
  <c r="B801" i="13"/>
  <c r="C800" i="13"/>
  <c r="B584" i="12"/>
  <c r="E584" i="12" s="1"/>
  <c r="B780" i="13"/>
  <c r="E780" i="13" s="1"/>
  <c r="C779" i="13"/>
  <c r="B759" i="13"/>
  <c r="E758" i="13"/>
  <c r="C758" i="13"/>
  <c r="C736" i="13"/>
  <c r="B737" i="13"/>
  <c r="E737" i="13" s="1"/>
  <c r="B15" i="13"/>
  <c r="E15" i="13" s="1"/>
  <c r="C14" i="13"/>
  <c r="B562" i="12" l="1"/>
  <c r="E561" i="12"/>
  <c r="C801" i="13"/>
  <c r="E801" i="13"/>
  <c r="B585" i="12"/>
  <c r="E585" i="12" s="1"/>
  <c r="B781" i="13"/>
  <c r="E781" i="13" s="1"/>
  <c r="C780" i="13"/>
  <c r="B760" i="13"/>
  <c r="E759" i="13"/>
  <c r="C759" i="13"/>
  <c r="B738" i="13"/>
  <c r="E738" i="13" s="1"/>
  <c r="C737" i="13"/>
  <c r="B16" i="13"/>
  <c r="E16" i="13" s="1"/>
  <c r="C15" i="13"/>
  <c r="C522" i="12"/>
  <c r="C505" i="12"/>
  <c r="C503" i="12"/>
  <c r="C486" i="12"/>
  <c r="C484" i="12"/>
  <c r="C467" i="12"/>
  <c r="B507" i="12"/>
  <c r="B508" i="12" s="1"/>
  <c r="B509" i="12" s="1"/>
  <c r="B510" i="12" s="1"/>
  <c r="B511" i="12" s="1"/>
  <c r="B512" i="12" s="1"/>
  <c r="B513" i="12" s="1"/>
  <c r="B514" i="12" s="1"/>
  <c r="B515" i="12" s="1"/>
  <c r="B516" i="12" s="1"/>
  <c r="B517" i="12" s="1"/>
  <c r="B518" i="12" s="1"/>
  <c r="B519" i="12" s="1"/>
  <c r="B520" i="12" s="1"/>
  <c r="B521" i="12" s="1"/>
  <c r="B488" i="12"/>
  <c r="B489" i="12" s="1"/>
  <c r="B490" i="12" s="1"/>
  <c r="B491" i="12" s="1"/>
  <c r="B492" i="12" s="1"/>
  <c r="B493" i="12" s="1"/>
  <c r="B494" i="12" s="1"/>
  <c r="B495" i="12" s="1"/>
  <c r="B496" i="12" s="1"/>
  <c r="B497" i="12" s="1"/>
  <c r="B498" i="12" s="1"/>
  <c r="B499" i="12" s="1"/>
  <c r="B500" i="12" s="1"/>
  <c r="B501" i="12" s="1"/>
  <c r="B502" i="12" s="1"/>
  <c r="B469" i="12"/>
  <c r="B470" i="12" s="1"/>
  <c r="B471" i="12" s="1"/>
  <c r="B472" i="12" s="1"/>
  <c r="B473" i="12" s="1"/>
  <c r="B474" i="12" s="1"/>
  <c r="B475" i="12" s="1"/>
  <c r="B476" i="12" s="1"/>
  <c r="B477" i="12" s="1"/>
  <c r="B478" i="12" s="1"/>
  <c r="B479" i="12" s="1"/>
  <c r="B480" i="12" s="1"/>
  <c r="B481" i="12" s="1"/>
  <c r="B482" i="12" s="1"/>
  <c r="B483" i="12" s="1"/>
  <c r="B450" i="12"/>
  <c r="B451" i="12" s="1"/>
  <c r="C465" i="12"/>
  <c r="E501" i="12" l="1"/>
  <c r="E494" i="12"/>
  <c r="E502" i="12"/>
  <c r="E495" i="12"/>
  <c r="E489" i="12"/>
  <c r="E490" i="12"/>
  <c r="E491" i="12"/>
  <c r="E499" i="12"/>
  <c r="E500" i="12"/>
  <c r="E488" i="12"/>
  <c r="E487" i="12"/>
  <c r="E496" i="12"/>
  <c r="E497" i="12"/>
  <c r="E498" i="12"/>
  <c r="E492" i="12"/>
  <c r="E493" i="12"/>
  <c r="B563" i="12"/>
  <c r="E562" i="12"/>
  <c r="B782" i="13"/>
  <c r="E782" i="13" s="1"/>
  <c r="C781" i="13"/>
  <c r="B761" i="13"/>
  <c r="E760" i="13"/>
  <c r="C760" i="13"/>
  <c r="E507" i="12"/>
  <c r="E508" i="12"/>
  <c r="E516" i="12"/>
  <c r="E519" i="12"/>
  <c r="E509" i="12"/>
  <c r="E517" i="12"/>
  <c r="E518" i="12"/>
  <c r="E510" i="12"/>
  <c r="E511" i="12"/>
  <c r="E512" i="12"/>
  <c r="E520" i="12"/>
  <c r="E513" i="12"/>
  <c r="E521" i="12"/>
  <c r="E514" i="12"/>
  <c r="E506" i="12"/>
  <c r="E515" i="12"/>
  <c r="E472" i="12"/>
  <c r="E480" i="12"/>
  <c r="E474" i="12"/>
  <c r="E483" i="12"/>
  <c r="E471" i="12"/>
  <c r="E473" i="12"/>
  <c r="E481" i="12"/>
  <c r="E482" i="12"/>
  <c r="E475" i="12"/>
  <c r="E479" i="12"/>
  <c r="E476" i="12"/>
  <c r="E470" i="12"/>
  <c r="E477" i="12"/>
  <c r="E469" i="12"/>
  <c r="E478" i="12"/>
  <c r="B739" i="13"/>
  <c r="E739" i="13" s="1"/>
  <c r="C738" i="13"/>
  <c r="B17" i="13"/>
  <c r="E17" i="13" s="1"/>
  <c r="C16" i="13"/>
  <c r="E468" i="12"/>
  <c r="B452" i="12"/>
  <c r="D5" i="17"/>
  <c r="D6" i="17"/>
  <c r="D7" i="17"/>
  <c r="E4" i="17"/>
  <c r="E5" i="17"/>
  <c r="E7" i="17"/>
  <c r="E20" i="17"/>
  <c r="E21" i="17"/>
  <c r="D20" i="17"/>
  <c r="D21" i="17"/>
  <c r="B431" i="12"/>
  <c r="B432" i="12" s="1"/>
  <c r="B433" i="12" s="1"/>
  <c r="B434" i="12" s="1"/>
  <c r="B435" i="12" s="1"/>
  <c r="B436" i="12" s="1"/>
  <c r="B437" i="12" s="1"/>
  <c r="B438" i="12" s="1"/>
  <c r="B439" i="12" s="1"/>
  <c r="B440" i="12" s="1"/>
  <c r="B441" i="12" s="1"/>
  <c r="B442" i="12" s="1"/>
  <c r="B443" i="12" s="1"/>
  <c r="B444" i="12" s="1"/>
  <c r="B445" i="12" s="1"/>
  <c r="B414" i="12"/>
  <c r="B415" i="12" s="1"/>
  <c r="B416" i="12" s="1"/>
  <c r="B417" i="12" s="1"/>
  <c r="B418" i="12" s="1"/>
  <c r="B419" i="12" s="1"/>
  <c r="B420" i="12" s="1"/>
  <c r="B421" i="12" s="1"/>
  <c r="B422" i="12" s="1"/>
  <c r="B423" i="12" s="1"/>
  <c r="B424" i="12" s="1"/>
  <c r="B425" i="12" s="1"/>
  <c r="B426" i="12" s="1"/>
  <c r="B427" i="12" s="1"/>
  <c r="B428" i="12" s="1"/>
  <c r="B564" i="12" l="1"/>
  <c r="E563" i="12"/>
  <c r="C782" i="13"/>
  <c r="E761" i="13"/>
  <c r="C761" i="13"/>
  <c r="B740" i="13"/>
  <c r="E740" i="13" s="1"/>
  <c r="C739" i="13"/>
  <c r="B18" i="13"/>
  <c r="E18" i="13" s="1"/>
  <c r="C17" i="13"/>
  <c r="B453" i="12"/>
  <c r="C570" i="13"/>
  <c r="C569" i="13"/>
  <c r="C566" i="13"/>
  <c r="C565" i="13"/>
  <c r="C564" i="13"/>
  <c r="C547" i="13"/>
  <c r="C530" i="13"/>
  <c r="C528" i="13"/>
  <c r="C527" i="13"/>
  <c r="C524" i="13"/>
  <c r="C523" i="13"/>
  <c r="C522" i="13"/>
  <c r="C505" i="13"/>
  <c r="C488" i="13"/>
  <c r="B549" i="13"/>
  <c r="B550" i="13" s="1"/>
  <c r="C548" i="13"/>
  <c r="B532" i="13"/>
  <c r="B533" i="13" s="1"/>
  <c r="C531" i="13"/>
  <c r="B507" i="13"/>
  <c r="B508" i="13" s="1"/>
  <c r="C506" i="13"/>
  <c r="B490" i="13"/>
  <c r="B491" i="13" s="1"/>
  <c r="C489" i="13"/>
  <c r="E35" i="13"/>
  <c r="B36" i="13"/>
  <c r="B37" i="13" s="1"/>
  <c r="E37" i="13" s="1"/>
  <c r="C35" i="13"/>
  <c r="B565" i="12" l="1"/>
  <c r="E564" i="12"/>
  <c r="C740" i="13"/>
  <c r="C18" i="13"/>
  <c r="B19" i="13"/>
  <c r="E19" i="13" s="1"/>
  <c r="B454" i="12"/>
  <c r="C507" i="13"/>
  <c r="C490" i="13"/>
  <c r="E506" i="13"/>
  <c r="E508" i="13"/>
  <c r="E490" i="13"/>
  <c r="E491" i="13"/>
  <c r="E533" i="13"/>
  <c r="E507" i="13"/>
  <c r="E550" i="13"/>
  <c r="E532" i="13"/>
  <c r="E549" i="13"/>
  <c r="E489" i="13"/>
  <c r="E531" i="13"/>
  <c r="E548" i="13"/>
  <c r="C491" i="13"/>
  <c r="B492" i="13"/>
  <c r="E492" i="13" s="1"/>
  <c r="C508" i="13"/>
  <c r="B509" i="13"/>
  <c r="E509" i="13" s="1"/>
  <c r="C550" i="13"/>
  <c r="B551" i="13"/>
  <c r="E551" i="13" s="1"/>
  <c r="C533" i="13"/>
  <c r="B534" i="13"/>
  <c r="E534" i="13" s="1"/>
  <c r="C549" i="13"/>
  <c r="C532" i="13"/>
  <c r="E36" i="13"/>
  <c r="B38" i="13"/>
  <c r="E38" i="13" s="1"/>
  <c r="C37" i="13"/>
  <c r="C36" i="13"/>
  <c r="C356" i="12"/>
  <c r="C355" i="12"/>
  <c r="B566" i="12" l="1"/>
  <c r="E565" i="12"/>
  <c r="B20" i="13"/>
  <c r="E20" i="13" s="1"/>
  <c r="C19" i="13"/>
  <c r="B455" i="12"/>
  <c r="C534" i="13"/>
  <c r="B535" i="13"/>
  <c r="E535" i="13" s="1"/>
  <c r="B510" i="13"/>
  <c r="E510" i="13" s="1"/>
  <c r="C509" i="13"/>
  <c r="B552" i="13"/>
  <c r="E552" i="13" s="1"/>
  <c r="C551" i="13"/>
  <c r="B493" i="13"/>
  <c r="E493" i="13" s="1"/>
  <c r="C492" i="13"/>
  <c r="C38" i="13"/>
  <c r="B39" i="13"/>
  <c r="E39" i="13" s="1"/>
  <c r="C715" i="13"/>
  <c r="C714" i="13"/>
  <c r="C713" i="13"/>
  <c r="C712" i="13"/>
  <c r="C711" i="13"/>
  <c r="C525" i="12"/>
  <c r="C448" i="12"/>
  <c r="C637" i="13"/>
  <c r="C636" i="13"/>
  <c r="B567" i="12" l="1"/>
  <c r="E567" i="12" s="1"/>
  <c r="E566" i="12"/>
  <c r="B21" i="13"/>
  <c r="E21" i="13" s="1"/>
  <c r="C20" i="13"/>
  <c r="E450" i="12"/>
  <c r="E453" i="12"/>
  <c r="E451" i="12"/>
  <c r="E452" i="12"/>
  <c r="E449" i="12"/>
  <c r="E454" i="12"/>
  <c r="E455" i="12"/>
  <c r="B456" i="12"/>
  <c r="E456" i="12" s="1"/>
  <c r="B494" i="13"/>
  <c r="E494" i="13" s="1"/>
  <c r="C493" i="13"/>
  <c r="B511" i="13"/>
  <c r="E511" i="13" s="1"/>
  <c r="C510" i="13"/>
  <c r="B536" i="13"/>
  <c r="E536" i="13" s="1"/>
  <c r="C535" i="13"/>
  <c r="B553" i="13"/>
  <c r="E553" i="13" s="1"/>
  <c r="C552" i="13"/>
  <c r="B40" i="13"/>
  <c r="E40" i="13" s="1"/>
  <c r="C39" i="13"/>
  <c r="C21" i="13" l="1"/>
  <c r="B22" i="13"/>
  <c r="E22" i="13" s="1"/>
  <c r="B457" i="12"/>
  <c r="E457" i="12" s="1"/>
  <c r="C553" i="13"/>
  <c r="B554" i="13"/>
  <c r="E554" i="13" s="1"/>
  <c r="C511" i="13"/>
  <c r="B512" i="13"/>
  <c r="E512" i="13" s="1"/>
  <c r="B537" i="13"/>
  <c r="E537" i="13" s="1"/>
  <c r="C536" i="13"/>
  <c r="C494" i="13"/>
  <c r="B495" i="13"/>
  <c r="E495" i="13" s="1"/>
  <c r="B41" i="13"/>
  <c r="E41" i="13" s="1"/>
  <c r="C40" i="13"/>
  <c r="C626" i="13"/>
  <c r="C625" i="13"/>
  <c r="C608" i="13"/>
  <c r="B23" i="13" l="1"/>
  <c r="E23" i="13" s="1"/>
  <c r="C22" i="13"/>
  <c r="B458" i="12"/>
  <c r="E458" i="12" s="1"/>
  <c r="C495" i="13"/>
  <c r="B496" i="13"/>
  <c r="E496" i="13" s="1"/>
  <c r="B513" i="13"/>
  <c r="E513" i="13" s="1"/>
  <c r="C512" i="13"/>
  <c r="C554" i="13"/>
  <c r="B555" i="13"/>
  <c r="E555" i="13" s="1"/>
  <c r="C537" i="13"/>
  <c r="B538" i="13"/>
  <c r="E538" i="13" s="1"/>
  <c r="C41" i="13"/>
  <c r="B42" i="13"/>
  <c r="E42" i="13" s="1"/>
  <c r="C57" i="13"/>
  <c r="B58" i="13"/>
  <c r="C58" i="13" s="1"/>
  <c r="C109" i="12"/>
  <c r="C92" i="12"/>
  <c r="C75" i="12"/>
  <c r="C58" i="12"/>
  <c r="C41" i="12"/>
  <c r="C24" i="12"/>
  <c r="C22" i="12"/>
  <c r="C4" i="12"/>
  <c r="B24" i="13" l="1"/>
  <c r="E24" i="13" s="1"/>
  <c r="C23" i="13"/>
  <c r="B459" i="12"/>
  <c r="E459" i="12" s="1"/>
  <c r="B514" i="13"/>
  <c r="E514" i="13" s="1"/>
  <c r="C513" i="13"/>
  <c r="B556" i="13"/>
  <c r="E556" i="13" s="1"/>
  <c r="C555" i="13"/>
  <c r="B497" i="13"/>
  <c r="E497" i="13" s="1"/>
  <c r="C496" i="13"/>
  <c r="C538" i="13"/>
  <c r="B539" i="13"/>
  <c r="E539" i="13" s="1"/>
  <c r="E58" i="13"/>
  <c r="B59" i="13"/>
  <c r="C59" i="13" s="1"/>
  <c r="C42" i="13"/>
  <c r="B43" i="13"/>
  <c r="E43" i="13" s="1"/>
  <c r="E57" i="13"/>
  <c r="C308" i="12"/>
  <c r="B310" i="12"/>
  <c r="B311" i="12" s="1"/>
  <c r="B312" i="12" s="1"/>
  <c r="B313" i="12" s="1"/>
  <c r="B314" i="12" s="1"/>
  <c r="B315" i="12" s="1"/>
  <c r="B316" i="12" s="1"/>
  <c r="B317" i="12" s="1"/>
  <c r="B318" i="12" s="1"/>
  <c r="B319" i="12" s="1"/>
  <c r="B320" i="12" s="1"/>
  <c r="B321" i="12" s="1"/>
  <c r="B322" i="12" s="1"/>
  <c r="B323" i="12" s="1"/>
  <c r="B324" i="12" s="1"/>
  <c r="C306" i="12"/>
  <c r="C197" i="12"/>
  <c r="B199" i="12"/>
  <c r="B200" i="12" s="1"/>
  <c r="B201" i="12" s="1"/>
  <c r="B202" i="12" s="1"/>
  <c r="B203" i="12" s="1"/>
  <c r="B204" i="12" s="1"/>
  <c r="B205" i="12" s="1"/>
  <c r="B206" i="12" s="1"/>
  <c r="B207" i="12" s="1"/>
  <c r="B208" i="12" s="1"/>
  <c r="B209" i="12" s="1"/>
  <c r="B210" i="12" s="1"/>
  <c r="B211" i="12" s="1"/>
  <c r="B212" i="12" s="1"/>
  <c r="B213" i="12" s="1"/>
  <c r="C238" i="12"/>
  <c r="C237" i="12"/>
  <c r="C236" i="12"/>
  <c r="C235" i="12"/>
  <c r="C234" i="12"/>
  <c r="C217" i="12"/>
  <c r="C215" i="12"/>
  <c r="C284" i="12"/>
  <c r="C283" i="12"/>
  <c r="C282" i="12"/>
  <c r="C281" i="12"/>
  <c r="C280" i="12"/>
  <c r="C263" i="12"/>
  <c r="C259" i="12"/>
  <c r="C261" i="12"/>
  <c r="C260" i="12"/>
  <c r="C24" i="13" l="1"/>
  <c r="B25" i="13"/>
  <c r="E25" i="13" s="1"/>
  <c r="B460" i="12"/>
  <c r="E460" i="12" s="1"/>
  <c r="E59" i="13"/>
  <c r="B60" i="13"/>
  <c r="C60" i="13" s="1"/>
  <c r="B557" i="13"/>
  <c r="E557" i="13" s="1"/>
  <c r="C556" i="13"/>
  <c r="B540" i="13"/>
  <c r="E540" i="13" s="1"/>
  <c r="C539" i="13"/>
  <c r="B498" i="13"/>
  <c r="E498" i="13" s="1"/>
  <c r="C497" i="13"/>
  <c r="B515" i="13"/>
  <c r="E515" i="13" s="1"/>
  <c r="C514" i="13"/>
  <c r="C43" i="13"/>
  <c r="B44" i="13"/>
  <c r="E44" i="13" s="1"/>
  <c r="E310" i="12"/>
  <c r="E200" i="12"/>
  <c r="E309" i="12"/>
  <c r="E321" i="12"/>
  <c r="E317" i="12"/>
  <c r="E313" i="12"/>
  <c r="E324" i="12"/>
  <c r="E320" i="12"/>
  <c r="E316" i="12"/>
  <c r="E312" i="12"/>
  <c r="E323" i="12"/>
  <c r="E319" i="12"/>
  <c r="E315" i="12"/>
  <c r="E311" i="12"/>
  <c r="E322" i="12"/>
  <c r="E318" i="12"/>
  <c r="E314" i="12"/>
  <c r="E211" i="12"/>
  <c r="E207" i="12"/>
  <c r="E203" i="12"/>
  <c r="E199" i="12"/>
  <c r="E213" i="12"/>
  <c r="E209" i="12"/>
  <c r="E205" i="12"/>
  <c r="E201" i="12"/>
  <c r="E198" i="12"/>
  <c r="E210" i="12"/>
  <c r="E206" i="12"/>
  <c r="E202" i="12"/>
  <c r="E212" i="12"/>
  <c r="E208" i="12"/>
  <c r="E204" i="12"/>
  <c r="C607" i="13"/>
  <c r="C606" i="13"/>
  <c r="C605" i="13"/>
  <c r="C604" i="13"/>
  <c r="C603" i="13"/>
  <c r="C602" i="13"/>
  <c r="C601" i="13"/>
  <c r="C600" i="13"/>
  <c r="C598" i="13"/>
  <c r="C597" i="13"/>
  <c r="C580" i="13"/>
  <c r="E60" i="13" l="1"/>
  <c r="B26" i="13"/>
  <c r="E26" i="13" s="1"/>
  <c r="C25" i="13"/>
  <c r="B461" i="12"/>
  <c r="E461" i="12" s="1"/>
  <c r="B61" i="13"/>
  <c r="E61" i="13" s="1"/>
  <c r="C515" i="13"/>
  <c r="B516" i="13"/>
  <c r="E516" i="13" s="1"/>
  <c r="B541" i="13"/>
  <c r="E541" i="13" s="1"/>
  <c r="C540" i="13"/>
  <c r="C498" i="13"/>
  <c r="B499" i="13"/>
  <c r="E499" i="13" s="1"/>
  <c r="C557" i="13"/>
  <c r="B558" i="13"/>
  <c r="E558" i="13" s="1"/>
  <c r="B45" i="13"/>
  <c r="E45" i="13" s="1"/>
  <c r="C44" i="13"/>
  <c r="B27" i="13" l="1"/>
  <c r="E27" i="13" s="1"/>
  <c r="C26" i="13"/>
  <c r="B462" i="12"/>
  <c r="E462" i="12" s="1"/>
  <c r="B62" i="13"/>
  <c r="C61" i="13"/>
  <c r="C541" i="13"/>
  <c r="B542" i="13"/>
  <c r="E542" i="13" s="1"/>
  <c r="C499" i="13"/>
  <c r="B500" i="13"/>
  <c r="E500" i="13" s="1"/>
  <c r="C516" i="13"/>
  <c r="B517" i="13"/>
  <c r="E517" i="13" s="1"/>
  <c r="C558" i="13"/>
  <c r="B559" i="13"/>
  <c r="E559" i="13" s="1"/>
  <c r="B46" i="13"/>
  <c r="E46" i="13" s="1"/>
  <c r="C45" i="13"/>
  <c r="C283" i="13"/>
  <c r="C282" i="13"/>
  <c r="C281" i="13"/>
  <c r="C280" i="13"/>
  <c r="C27" i="13" l="1"/>
  <c r="B463" i="12"/>
  <c r="E463" i="12" s="1"/>
  <c r="E62" i="13"/>
  <c r="C62" i="13"/>
  <c r="B63" i="13"/>
  <c r="B560" i="13"/>
  <c r="E560" i="13" s="1"/>
  <c r="C559" i="13"/>
  <c r="B501" i="13"/>
  <c r="E501" i="13" s="1"/>
  <c r="C500" i="13"/>
  <c r="C517" i="13"/>
  <c r="B518" i="13"/>
  <c r="E518" i="13" s="1"/>
  <c r="C542" i="13"/>
  <c r="B543" i="13"/>
  <c r="E543" i="13" s="1"/>
  <c r="C46" i="13"/>
  <c r="B47" i="13"/>
  <c r="E47" i="13" s="1"/>
  <c r="B464" i="12" l="1"/>
  <c r="E464" i="12" s="1"/>
  <c r="C63" i="13"/>
  <c r="E63" i="13"/>
  <c r="B544" i="13"/>
  <c r="E544" i="13" s="1"/>
  <c r="C543" i="13"/>
  <c r="B502" i="13"/>
  <c r="E502" i="13" s="1"/>
  <c r="C501" i="13"/>
  <c r="B519" i="13"/>
  <c r="E519" i="13" s="1"/>
  <c r="C518" i="13"/>
  <c r="B561" i="13"/>
  <c r="E561" i="13" s="1"/>
  <c r="C560" i="13"/>
  <c r="B48" i="13"/>
  <c r="E48" i="13" s="1"/>
  <c r="C47" i="13"/>
  <c r="C379" i="13"/>
  <c r="C561" i="13" l="1"/>
  <c r="B562" i="13"/>
  <c r="E562" i="13" s="1"/>
  <c r="C502" i="13"/>
  <c r="B503" i="13"/>
  <c r="E503" i="13" s="1"/>
  <c r="C519" i="13"/>
  <c r="B520" i="13"/>
  <c r="E520" i="13" s="1"/>
  <c r="B545" i="13"/>
  <c r="E545" i="13" s="1"/>
  <c r="C544" i="13"/>
  <c r="B49" i="13"/>
  <c r="E49" i="13" s="1"/>
  <c r="C48" i="13"/>
  <c r="C486" i="13"/>
  <c r="C485" i="13"/>
  <c r="C482" i="13"/>
  <c r="C481" i="13"/>
  <c r="C480" i="13"/>
  <c r="C463" i="13"/>
  <c r="C446" i="13"/>
  <c r="C444" i="13"/>
  <c r="C443" i="13"/>
  <c r="C440" i="13"/>
  <c r="C503" i="13" l="1"/>
  <c r="B504" i="13"/>
  <c r="C545" i="13"/>
  <c r="B546" i="13"/>
  <c r="B521" i="13"/>
  <c r="C520" i="13"/>
  <c r="C562" i="13"/>
  <c r="B563" i="13"/>
  <c r="C49" i="13"/>
  <c r="B50" i="13"/>
  <c r="E50" i="13" s="1"/>
  <c r="C563" i="13" l="1"/>
  <c r="E563" i="13"/>
  <c r="C546" i="13"/>
  <c r="E546" i="13"/>
  <c r="C504" i="13"/>
  <c r="E504" i="13"/>
  <c r="C521" i="13"/>
  <c r="E521" i="13"/>
  <c r="C50" i="13"/>
  <c r="B381" i="13"/>
  <c r="C381" i="13" s="1"/>
  <c r="C380" i="13"/>
  <c r="E380" i="13"/>
  <c r="D14" i="17"/>
  <c r="E14" i="17"/>
  <c r="E381" i="13" l="1"/>
  <c r="B382" i="13"/>
  <c r="E382" i="13" s="1"/>
  <c r="B610" i="13"/>
  <c r="B611" i="13" s="1"/>
  <c r="B582" i="13"/>
  <c r="C579" i="13"/>
  <c r="C578" i="13"/>
  <c r="C577" i="13"/>
  <c r="C576" i="13"/>
  <c r="C575" i="13"/>
  <c r="C574" i="13"/>
  <c r="C573" i="13"/>
  <c r="C572" i="13"/>
  <c r="B465" i="13"/>
  <c r="B466" i="13" s="1"/>
  <c r="C464" i="13"/>
  <c r="B448" i="13"/>
  <c r="C448" i="13" s="1"/>
  <c r="C447" i="13"/>
  <c r="C439" i="13"/>
  <c r="C438" i="13"/>
  <c r="C421" i="13"/>
  <c r="C404" i="13"/>
  <c r="B423" i="13"/>
  <c r="C423" i="13" s="1"/>
  <c r="C422" i="13"/>
  <c r="B406" i="13"/>
  <c r="C406" i="13" s="1"/>
  <c r="C405" i="13"/>
  <c r="C359" i="12"/>
  <c r="E360" i="12" s="1"/>
  <c r="C401" i="13"/>
  <c r="C400" i="13"/>
  <c r="C399" i="13"/>
  <c r="E19" i="17"/>
  <c r="C378" i="12"/>
  <c r="B397" i="12"/>
  <c r="B398" i="12" s="1"/>
  <c r="B380" i="12"/>
  <c r="B381" i="12" s="1"/>
  <c r="B382" i="12" s="1"/>
  <c r="B383" i="12" s="1"/>
  <c r="B384" i="12" s="1"/>
  <c r="B385" i="12" s="1"/>
  <c r="B386" i="12" s="1"/>
  <c r="B387" i="12" s="1"/>
  <c r="B388" i="12" s="1"/>
  <c r="B389" i="12" s="1"/>
  <c r="B390" i="12" s="1"/>
  <c r="B391" i="12" s="1"/>
  <c r="B392" i="12" s="1"/>
  <c r="B393" i="12" s="1"/>
  <c r="B394" i="12" s="1"/>
  <c r="B361" i="12"/>
  <c r="B362" i="12" s="1"/>
  <c r="B363" i="12" s="1"/>
  <c r="B364" i="12" s="1"/>
  <c r="B365" i="12" s="1"/>
  <c r="B366" i="12" s="1"/>
  <c r="B367" i="12" s="1"/>
  <c r="B368" i="12" s="1"/>
  <c r="B369" i="12" s="1"/>
  <c r="B370" i="12" s="1"/>
  <c r="B371" i="12" s="1"/>
  <c r="B372" i="12" s="1"/>
  <c r="B373" i="12" s="1"/>
  <c r="B374" i="12" s="1"/>
  <c r="B375" i="12" s="1"/>
  <c r="C74" i="13"/>
  <c r="C161" i="13"/>
  <c r="C144" i="13"/>
  <c r="C127" i="13"/>
  <c r="C110" i="13"/>
  <c r="C93" i="13"/>
  <c r="C76" i="13"/>
  <c r="E445" i="12" l="1"/>
  <c r="E444" i="12"/>
  <c r="E442" i="12"/>
  <c r="E440" i="12"/>
  <c r="E438" i="12"/>
  <c r="E436" i="12"/>
  <c r="E434" i="12"/>
  <c r="E432" i="12"/>
  <c r="E430" i="12"/>
  <c r="E443" i="12"/>
  <c r="E439" i="12"/>
  <c r="E435" i="12"/>
  <c r="E431" i="12"/>
  <c r="E441" i="12"/>
  <c r="E437" i="12"/>
  <c r="E433" i="12"/>
  <c r="E427" i="12"/>
  <c r="E425" i="12"/>
  <c r="E423" i="12"/>
  <c r="E421" i="12"/>
  <c r="E419" i="12"/>
  <c r="E417" i="12"/>
  <c r="E415" i="12"/>
  <c r="E413" i="12"/>
  <c r="E426" i="12"/>
  <c r="E424" i="12"/>
  <c r="E420" i="12"/>
  <c r="E416" i="12"/>
  <c r="E428" i="12"/>
  <c r="E422" i="12"/>
  <c r="E418" i="12"/>
  <c r="E414" i="12"/>
  <c r="B449" i="13"/>
  <c r="C449" i="13" s="1"/>
  <c r="B383" i="13"/>
  <c r="E383" i="13" s="1"/>
  <c r="C382" i="13"/>
  <c r="E390" i="12"/>
  <c r="E610" i="13"/>
  <c r="C465" i="13"/>
  <c r="E466" i="13"/>
  <c r="E464" i="13"/>
  <c r="E465" i="13"/>
  <c r="E609" i="13"/>
  <c r="E405" i="13"/>
  <c r="E391" i="12"/>
  <c r="E389" i="12"/>
  <c r="E393" i="12"/>
  <c r="E388" i="12"/>
  <c r="E406" i="13"/>
  <c r="E392" i="12"/>
  <c r="E387" i="12"/>
  <c r="E447" i="13"/>
  <c r="E394" i="12"/>
  <c r="E582" i="13"/>
  <c r="E611" i="13"/>
  <c r="E423" i="13"/>
  <c r="E581" i="13"/>
  <c r="E422" i="13"/>
  <c r="E448" i="13"/>
  <c r="B612" i="13"/>
  <c r="E612" i="13" s="1"/>
  <c r="B583" i="13"/>
  <c r="E583" i="13" s="1"/>
  <c r="C466" i="13"/>
  <c r="B467" i="13"/>
  <c r="E467" i="13" s="1"/>
  <c r="E396" i="12"/>
  <c r="E398" i="12"/>
  <c r="E397" i="12"/>
  <c r="B424" i="13"/>
  <c r="E424" i="13" s="1"/>
  <c r="B407" i="13"/>
  <c r="E407" i="13" s="1"/>
  <c r="E379" i="12"/>
  <c r="E385" i="12"/>
  <c r="E375" i="12"/>
  <c r="B399" i="12"/>
  <c r="E399" i="12" s="1"/>
  <c r="E371" i="12"/>
  <c r="E367" i="12"/>
  <c r="E363" i="12"/>
  <c r="E383" i="12"/>
  <c r="E374" i="12"/>
  <c r="E370" i="12"/>
  <c r="E366" i="12"/>
  <c r="E362" i="12"/>
  <c r="E386" i="12"/>
  <c r="E382" i="12"/>
  <c r="E373" i="12"/>
  <c r="E369" i="12"/>
  <c r="E365" i="12"/>
  <c r="E361" i="12"/>
  <c r="E381" i="12"/>
  <c r="E372" i="12"/>
  <c r="E368" i="12"/>
  <c r="E364" i="12"/>
  <c r="E384" i="12"/>
  <c r="E380" i="12"/>
  <c r="E449" i="13" l="1"/>
  <c r="B450" i="13"/>
  <c r="C383" i="13"/>
  <c r="B384" i="13"/>
  <c r="E384" i="13" s="1"/>
  <c r="B613" i="13"/>
  <c r="E613" i="13" s="1"/>
  <c r="B584" i="13"/>
  <c r="E584" i="13" s="1"/>
  <c r="B468" i="13"/>
  <c r="E468" i="13" s="1"/>
  <c r="C467" i="13"/>
  <c r="B425" i="13"/>
  <c r="E425" i="13" s="1"/>
  <c r="C424" i="13"/>
  <c r="B408" i="13"/>
  <c r="E408" i="13" s="1"/>
  <c r="C407" i="13"/>
  <c r="B400" i="12"/>
  <c r="E400" i="12" s="1"/>
  <c r="C325" i="13"/>
  <c r="C308" i="13"/>
  <c r="C279" i="13"/>
  <c r="C278" i="13"/>
  <c r="C277" i="13"/>
  <c r="C276" i="13"/>
  <c r="C259" i="13"/>
  <c r="B163" i="13"/>
  <c r="B164" i="13" s="1"/>
  <c r="C162" i="13"/>
  <c r="B111" i="12"/>
  <c r="C111" i="12" s="1"/>
  <c r="C110" i="12"/>
  <c r="B451" i="13" l="1"/>
  <c r="E450" i="13"/>
  <c r="C450" i="13"/>
  <c r="B385" i="13"/>
  <c r="E385" i="13" s="1"/>
  <c r="C384" i="13"/>
  <c r="B614" i="13"/>
  <c r="E614" i="13" s="1"/>
  <c r="B585" i="13"/>
  <c r="E585" i="13" s="1"/>
  <c r="B469" i="13"/>
  <c r="E469" i="13" s="1"/>
  <c r="C468" i="13"/>
  <c r="C425" i="13"/>
  <c r="B426" i="13"/>
  <c r="E426" i="13" s="1"/>
  <c r="C408" i="13"/>
  <c r="B409" i="13"/>
  <c r="E409" i="13" s="1"/>
  <c r="B401" i="12"/>
  <c r="E401" i="12" s="1"/>
  <c r="B112" i="12"/>
  <c r="C112" i="12" s="1"/>
  <c r="E111" i="12"/>
  <c r="E110" i="12"/>
  <c r="C164" i="13"/>
  <c r="B165" i="13"/>
  <c r="C163" i="13"/>
  <c r="E25" i="12"/>
  <c r="C25" i="12"/>
  <c r="B452" i="13" l="1"/>
  <c r="C451" i="13"/>
  <c r="E451" i="13"/>
  <c r="C385" i="13"/>
  <c r="B386" i="13"/>
  <c r="E386" i="13" s="1"/>
  <c r="B615" i="13"/>
  <c r="E615" i="13" s="1"/>
  <c r="B586" i="13"/>
  <c r="E586" i="13" s="1"/>
  <c r="C469" i="13"/>
  <c r="B470" i="13"/>
  <c r="E470" i="13" s="1"/>
  <c r="B113" i="12"/>
  <c r="E113" i="12" s="1"/>
  <c r="E112" i="12"/>
  <c r="B427" i="13"/>
  <c r="E427" i="13" s="1"/>
  <c r="C426" i="13"/>
  <c r="B410" i="13"/>
  <c r="E410" i="13" s="1"/>
  <c r="C409" i="13"/>
  <c r="B402" i="12"/>
  <c r="E402" i="12" s="1"/>
  <c r="E93" i="12"/>
  <c r="E94" i="13"/>
  <c r="C165" i="13"/>
  <c r="B166" i="13"/>
  <c r="E42" i="12"/>
  <c r="C452" i="13" l="1"/>
  <c r="E452" i="13"/>
  <c r="B453" i="13"/>
  <c r="B387" i="13"/>
  <c r="E387" i="13" s="1"/>
  <c r="C386" i="13"/>
  <c r="B114" i="12"/>
  <c r="E114" i="12" s="1"/>
  <c r="C113" i="12"/>
  <c r="B616" i="13"/>
  <c r="E616" i="13" s="1"/>
  <c r="B587" i="13"/>
  <c r="E587" i="13" s="1"/>
  <c r="C470" i="13"/>
  <c r="B471" i="13"/>
  <c r="E471" i="13" s="1"/>
  <c r="C427" i="13"/>
  <c r="B428" i="13"/>
  <c r="E428" i="13" s="1"/>
  <c r="C410" i="13"/>
  <c r="B411" i="13"/>
  <c r="E411" i="13" s="1"/>
  <c r="B403" i="12"/>
  <c r="E403" i="12" s="1"/>
  <c r="B167" i="13"/>
  <c r="C166" i="13"/>
  <c r="C306" i="13"/>
  <c r="C305" i="13"/>
  <c r="C114" i="12" l="1"/>
  <c r="B115" i="12"/>
  <c r="E115" i="12" s="1"/>
  <c r="E453" i="13"/>
  <c r="B454" i="13"/>
  <c r="C453" i="13"/>
  <c r="C387" i="13"/>
  <c r="B388" i="13"/>
  <c r="E388" i="13" s="1"/>
  <c r="B617" i="13"/>
  <c r="E617" i="13" s="1"/>
  <c r="B588" i="13"/>
  <c r="E588" i="13" s="1"/>
  <c r="B472" i="13"/>
  <c r="E472" i="13" s="1"/>
  <c r="C471" i="13"/>
  <c r="B429" i="13"/>
  <c r="E429" i="13" s="1"/>
  <c r="C428" i="13"/>
  <c r="B412" i="13"/>
  <c r="E412" i="13" s="1"/>
  <c r="C411" i="13"/>
  <c r="B404" i="12"/>
  <c r="B64" i="13"/>
  <c r="E64" i="13" s="1"/>
  <c r="B168" i="13"/>
  <c r="C167" i="13"/>
  <c r="B95" i="13"/>
  <c r="C94" i="13"/>
  <c r="B43" i="12"/>
  <c r="C42" i="12"/>
  <c r="C115" i="12" l="1"/>
  <c r="B116" i="12"/>
  <c r="E116" i="12" s="1"/>
  <c r="E454" i="13"/>
  <c r="B455" i="13"/>
  <c r="C454" i="13"/>
  <c r="B389" i="13"/>
  <c r="E389" i="13" s="1"/>
  <c r="C388" i="13"/>
  <c r="E404" i="12"/>
  <c r="B405" i="12"/>
  <c r="B618" i="13"/>
  <c r="E618" i="13" s="1"/>
  <c r="B589" i="13"/>
  <c r="E589" i="13" s="1"/>
  <c r="B473" i="13"/>
  <c r="E473" i="13" s="1"/>
  <c r="C472" i="13"/>
  <c r="C429" i="13"/>
  <c r="B430" i="13"/>
  <c r="E430" i="13" s="1"/>
  <c r="C412" i="13"/>
  <c r="B413" i="13"/>
  <c r="E413" i="13" s="1"/>
  <c r="C64" i="13"/>
  <c r="B65" i="13"/>
  <c r="E65" i="13" s="1"/>
  <c r="B96" i="13"/>
  <c r="E96" i="13" s="1"/>
  <c r="E95" i="13"/>
  <c r="C168" i="13"/>
  <c r="B169" i="13"/>
  <c r="B44" i="12"/>
  <c r="E44" i="12" s="1"/>
  <c r="E43" i="12"/>
  <c r="C43" i="12"/>
  <c r="C95" i="13"/>
  <c r="B146" i="13"/>
  <c r="B147" i="13" s="1"/>
  <c r="C145" i="13"/>
  <c r="B129" i="13"/>
  <c r="B130" i="13" s="1"/>
  <c r="C128" i="13"/>
  <c r="B94" i="12"/>
  <c r="C93" i="12"/>
  <c r="E76" i="12"/>
  <c r="B77" i="12"/>
  <c r="B78" i="12" s="1"/>
  <c r="E78" i="12" s="1"/>
  <c r="C76" i="12"/>
  <c r="C185" i="12"/>
  <c r="C184" i="12"/>
  <c r="C186" i="12"/>
  <c r="C183" i="12"/>
  <c r="C116" i="12" l="1"/>
  <c r="C96" i="13"/>
  <c r="B117" i="12"/>
  <c r="E117" i="12" s="1"/>
  <c r="E455" i="13"/>
  <c r="B456" i="13"/>
  <c r="C455" i="13"/>
  <c r="C389" i="13"/>
  <c r="B390" i="13"/>
  <c r="E390" i="13" s="1"/>
  <c r="B97" i="13"/>
  <c r="E97" i="13" s="1"/>
  <c r="B406" i="12"/>
  <c r="E405" i="12"/>
  <c r="B619" i="13"/>
  <c r="E619" i="13" s="1"/>
  <c r="B590" i="13"/>
  <c r="E590" i="13" s="1"/>
  <c r="C473" i="13"/>
  <c r="B474" i="13"/>
  <c r="E474" i="13" s="1"/>
  <c r="B431" i="13"/>
  <c r="E431" i="13" s="1"/>
  <c r="C430" i="13"/>
  <c r="B414" i="13"/>
  <c r="E414" i="13" s="1"/>
  <c r="C413" i="13"/>
  <c r="B66" i="13"/>
  <c r="E66" i="13" s="1"/>
  <c r="C65" i="13"/>
  <c r="B95" i="12"/>
  <c r="E95" i="12" s="1"/>
  <c r="E94" i="12"/>
  <c r="B45" i="12"/>
  <c r="E45" i="12" s="1"/>
  <c r="C169" i="13"/>
  <c r="B170" i="13"/>
  <c r="C44" i="12"/>
  <c r="C77" i="12"/>
  <c r="E77" i="12"/>
  <c r="C94" i="12"/>
  <c r="E129" i="13"/>
  <c r="C129" i="13"/>
  <c r="E146" i="13"/>
  <c r="E145" i="13"/>
  <c r="E128" i="13"/>
  <c r="E147" i="13"/>
  <c r="E130" i="13"/>
  <c r="C147" i="13"/>
  <c r="B148" i="13"/>
  <c r="E148" i="13" s="1"/>
  <c r="C146" i="13"/>
  <c r="C130" i="13"/>
  <c r="B131" i="13"/>
  <c r="E131" i="13" s="1"/>
  <c r="C78" i="12"/>
  <c r="B79" i="12"/>
  <c r="E79" i="12" s="1"/>
  <c r="C357" i="13"/>
  <c r="C355" i="13"/>
  <c r="C354" i="13"/>
  <c r="C353" i="13"/>
  <c r="C336" i="13"/>
  <c r="C304" i="13"/>
  <c r="C303" i="13"/>
  <c r="C286" i="13"/>
  <c r="E287" i="13" s="1"/>
  <c r="E260" i="13"/>
  <c r="O259" i="13" s="1"/>
  <c r="C256" i="13"/>
  <c r="C255" i="13"/>
  <c r="C238" i="13"/>
  <c r="E239" i="13" s="1"/>
  <c r="C197" i="13"/>
  <c r="E198" i="13" s="1"/>
  <c r="C95" i="12" l="1"/>
  <c r="B118" i="12"/>
  <c r="E118" i="12" s="1"/>
  <c r="C117" i="12"/>
  <c r="B96" i="12"/>
  <c r="E96" i="12" s="1"/>
  <c r="B46" i="12"/>
  <c r="E46" i="12" s="1"/>
  <c r="C45" i="12"/>
  <c r="B98" i="13"/>
  <c r="E98" i="13" s="1"/>
  <c r="C97" i="13"/>
  <c r="E456" i="13"/>
  <c r="B457" i="13"/>
  <c r="C456" i="13"/>
  <c r="E358" i="13"/>
  <c r="B391" i="13"/>
  <c r="E391" i="13" s="1"/>
  <c r="C390" i="13"/>
  <c r="B407" i="12"/>
  <c r="E406" i="12"/>
  <c r="B620" i="13"/>
  <c r="E620" i="13" s="1"/>
  <c r="B591" i="13"/>
  <c r="E591" i="13" s="1"/>
  <c r="C474" i="13"/>
  <c r="B475" i="13"/>
  <c r="E475" i="13" s="1"/>
  <c r="C431" i="13"/>
  <c r="B432" i="13"/>
  <c r="E432" i="13" s="1"/>
  <c r="C414" i="13"/>
  <c r="B415" i="13"/>
  <c r="E415" i="13" s="1"/>
  <c r="C66" i="13"/>
  <c r="B67" i="13"/>
  <c r="E67" i="13" s="1"/>
  <c r="B171" i="13"/>
  <c r="C170" i="13"/>
  <c r="C148" i="13"/>
  <c r="B149" i="13"/>
  <c r="E149" i="13" s="1"/>
  <c r="C131" i="13"/>
  <c r="B132" i="13"/>
  <c r="E132" i="13" s="1"/>
  <c r="C79" i="12"/>
  <c r="B80" i="12"/>
  <c r="E80" i="12" s="1"/>
  <c r="E309" i="13"/>
  <c r="O308" i="13" s="1"/>
  <c r="E337" i="13"/>
  <c r="E5" i="12"/>
  <c r="B359" i="13"/>
  <c r="B360" i="13" s="1"/>
  <c r="E360" i="13" s="1"/>
  <c r="C358" i="13"/>
  <c r="B338" i="13"/>
  <c r="C338" i="13" s="1"/>
  <c r="C337" i="13"/>
  <c r="B310" i="13"/>
  <c r="C310" i="13" s="1"/>
  <c r="C309" i="13"/>
  <c r="B288" i="13"/>
  <c r="C288" i="13" s="1"/>
  <c r="C287" i="13"/>
  <c r="B261" i="13"/>
  <c r="C261" i="13" s="1"/>
  <c r="C260" i="13"/>
  <c r="B240" i="13"/>
  <c r="C240" i="13" s="1"/>
  <c r="C239" i="13"/>
  <c r="B199" i="13"/>
  <c r="C199" i="13" s="1"/>
  <c r="C198" i="13"/>
  <c r="B112" i="13"/>
  <c r="C112" i="13" s="1"/>
  <c r="C111" i="13"/>
  <c r="B78" i="13"/>
  <c r="C78" i="13" s="1"/>
  <c r="C77" i="13"/>
  <c r="C288" i="12"/>
  <c r="C305" i="12"/>
  <c r="B290" i="12"/>
  <c r="B291" i="12" s="1"/>
  <c r="B292" i="12" s="1"/>
  <c r="B293" i="12" s="1"/>
  <c r="B294" i="12" s="1"/>
  <c r="B295" i="12" s="1"/>
  <c r="B296" i="12" s="1"/>
  <c r="B297" i="12" s="1"/>
  <c r="B298" i="12" s="1"/>
  <c r="B299" i="12" s="1"/>
  <c r="B300" i="12" s="1"/>
  <c r="B301" i="12" s="1"/>
  <c r="B302" i="12" s="1"/>
  <c r="B303" i="12" s="1"/>
  <c r="B304" i="12" s="1"/>
  <c r="B265" i="12"/>
  <c r="B266" i="12" s="1"/>
  <c r="B267" i="12" s="1"/>
  <c r="B268" i="12" s="1"/>
  <c r="B269" i="12" s="1"/>
  <c r="B270" i="12" s="1"/>
  <c r="B271" i="12" s="1"/>
  <c r="B272" i="12" s="1"/>
  <c r="B273" i="12" s="1"/>
  <c r="B274" i="12" s="1"/>
  <c r="B275" i="12" s="1"/>
  <c r="B276" i="12" s="1"/>
  <c r="B277" i="12" s="1"/>
  <c r="B278" i="12" s="1"/>
  <c r="B279" i="12" s="1"/>
  <c r="C258" i="12"/>
  <c r="C214" i="12"/>
  <c r="C241" i="12"/>
  <c r="B243" i="12"/>
  <c r="B244" i="12" s="1"/>
  <c r="C146" i="12"/>
  <c r="D9" i="17"/>
  <c r="E9" i="17"/>
  <c r="D10" i="17"/>
  <c r="E10" i="17"/>
  <c r="D11" i="17"/>
  <c r="E11" i="17"/>
  <c r="D12" i="17"/>
  <c r="E12" i="17"/>
  <c r="D13" i="17"/>
  <c r="E13" i="17"/>
  <c r="D15" i="17"/>
  <c r="E15" i="17"/>
  <c r="D16" i="17"/>
  <c r="E16" i="17"/>
  <c r="D17" i="17"/>
  <c r="D18" i="17"/>
  <c r="E18" i="17"/>
  <c r="E8" i="17"/>
  <c r="C182" i="12"/>
  <c r="C165" i="12"/>
  <c r="B219" i="12"/>
  <c r="C219" i="12" s="1"/>
  <c r="C218" i="12"/>
  <c r="C166" i="12"/>
  <c r="B167" i="12"/>
  <c r="B168" i="12" s="1"/>
  <c r="B169" i="12" s="1"/>
  <c r="B170" i="12" s="1"/>
  <c r="B171" i="12" s="1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C181" i="12" s="1"/>
  <c r="C5" i="12"/>
  <c r="C59" i="12"/>
  <c r="B6" i="12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60" i="12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26" i="12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C147" i="12"/>
  <c r="B148" i="12"/>
  <c r="B149" i="12" s="1"/>
  <c r="C149" i="12" s="1"/>
  <c r="D8" i="17"/>
  <c r="B97" i="12" l="1"/>
  <c r="E97" i="12" s="1"/>
  <c r="C118" i="12"/>
  <c r="C96" i="12"/>
  <c r="B119" i="12"/>
  <c r="E119" i="12" s="1"/>
  <c r="C46" i="12"/>
  <c r="B47" i="12"/>
  <c r="E47" i="12" s="1"/>
  <c r="C98" i="13"/>
  <c r="B99" i="13"/>
  <c r="E99" i="13" s="1"/>
  <c r="E242" i="12"/>
  <c r="E457" i="13"/>
  <c r="C457" i="13"/>
  <c r="B458" i="13"/>
  <c r="C391" i="13"/>
  <c r="B392" i="13"/>
  <c r="E392" i="13" s="1"/>
  <c r="B408" i="12"/>
  <c r="E407" i="12"/>
  <c r="B621" i="13"/>
  <c r="E621" i="13" s="1"/>
  <c r="B592" i="13"/>
  <c r="E592" i="13" s="1"/>
  <c r="B476" i="13"/>
  <c r="E476" i="13" s="1"/>
  <c r="C475" i="13"/>
  <c r="B433" i="13"/>
  <c r="E433" i="13" s="1"/>
  <c r="C432" i="13"/>
  <c r="B416" i="13"/>
  <c r="E416" i="13" s="1"/>
  <c r="C415" i="13"/>
  <c r="B68" i="13"/>
  <c r="E68" i="13" s="1"/>
  <c r="C67" i="13"/>
  <c r="B172" i="13"/>
  <c r="C171" i="13"/>
  <c r="B150" i="13"/>
  <c r="E150" i="13" s="1"/>
  <c r="C149" i="13"/>
  <c r="B133" i="13"/>
  <c r="E133" i="13" s="1"/>
  <c r="C132" i="13"/>
  <c r="B98" i="12"/>
  <c r="E98" i="12" s="1"/>
  <c r="C359" i="13"/>
  <c r="E59" i="12"/>
  <c r="E63" i="12"/>
  <c r="E60" i="12"/>
  <c r="E64" i="12"/>
  <c r="E61" i="12"/>
  <c r="E65" i="12"/>
  <c r="E62" i="12"/>
  <c r="E66" i="12"/>
  <c r="B81" i="12"/>
  <c r="E81" i="12" s="1"/>
  <c r="C80" i="12"/>
  <c r="C71" i="12"/>
  <c r="B113" i="13"/>
  <c r="B114" i="13" s="1"/>
  <c r="E114" i="13" s="1"/>
  <c r="C19" i="12"/>
  <c r="C63" i="12"/>
  <c r="C148" i="12"/>
  <c r="C33" i="12"/>
  <c r="C11" i="12"/>
  <c r="C13" i="12"/>
  <c r="C39" i="12"/>
  <c r="C35" i="12"/>
  <c r="C27" i="12"/>
  <c r="C15" i="12"/>
  <c r="C7" i="12"/>
  <c r="C31" i="12"/>
  <c r="C67" i="12"/>
  <c r="C37" i="12"/>
  <c r="C29" i="12"/>
  <c r="C17" i="12"/>
  <c r="C9" i="12"/>
  <c r="E265" i="12"/>
  <c r="E29" i="12"/>
  <c r="E359" i="13"/>
  <c r="E78" i="13"/>
  <c r="E77" i="13"/>
  <c r="E288" i="13"/>
  <c r="E112" i="13"/>
  <c r="E111" i="13"/>
  <c r="E199" i="13"/>
  <c r="E240" i="13"/>
  <c r="E338" i="13"/>
  <c r="E310" i="13"/>
  <c r="E261" i="13"/>
  <c r="E74" i="12"/>
  <c r="E13" i="12"/>
  <c r="E19" i="12"/>
  <c r="E40" i="12"/>
  <c r="E35" i="12"/>
  <c r="E27" i="12"/>
  <c r="E33" i="12"/>
  <c r="E39" i="12"/>
  <c r="E31" i="12"/>
  <c r="E37" i="12"/>
  <c r="E11" i="12"/>
  <c r="E20" i="12"/>
  <c r="E17" i="12"/>
  <c r="E9" i="12"/>
  <c r="E15" i="12"/>
  <c r="E7" i="12"/>
  <c r="B361" i="13"/>
  <c r="E361" i="13" s="1"/>
  <c r="C360" i="13"/>
  <c r="B339" i="13"/>
  <c r="E339" i="13" s="1"/>
  <c r="B311" i="13"/>
  <c r="E311" i="13" s="1"/>
  <c r="P308" i="13" s="1"/>
  <c r="B289" i="13"/>
  <c r="E289" i="13" s="1"/>
  <c r="B262" i="13"/>
  <c r="E262" i="13" s="1"/>
  <c r="P259" i="13" s="1"/>
  <c r="B241" i="13"/>
  <c r="E241" i="13" s="1"/>
  <c r="B200" i="13"/>
  <c r="E200" i="13" s="1"/>
  <c r="B79" i="13"/>
  <c r="E79" i="13" s="1"/>
  <c r="C69" i="12"/>
  <c r="C61" i="12"/>
  <c r="E73" i="12"/>
  <c r="C177" i="12"/>
  <c r="C173" i="12"/>
  <c r="C169" i="12"/>
  <c r="E290" i="12"/>
  <c r="C73" i="12"/>
  <c r="C65" i="12"/>
  <c r="E69" i="12"/>
  <c r="B150" i="12"/>
  <c r="E150" i="12" s="1"/>
  <c r="C72" i="12"/>
  <c r="C68" i="12"/>
  <c r="C64" i="12"/>
  <c r="C60" i="12"/>
  <c r="C38" i="12"/>
  <c r="C34" i="12"/>
  <c r="C30" i="12"/>
  <c r="C26" i="12"/>
  <c r="C18" i="12"/>
  <c r="C14" i="12"/>
  <c r="C10" i="12"/>
  <c r="C6" i="12"/>
  <c r="E72" i="12"/>
  <c r="E68" i="12"/>
  <c r="E38" i="12"/>
  <c r="E34" i="12"/>
  <c r="E30" i="12"/>
  <c r="E26" i="12"/>
  <c r="E18" i="12"/>
  <c r="E14" i="12"/>
  <c r="E10" i="12"/>
  <c r="E6" i="12"/>
  <c r="C180" i="12"/>
  <c r="C176" i="12"/>
  <c r="C172" i="12"/>
  <c r="C168" i="12"/>
  <c r="E148" i="12"/>
  <c r="E219" i="12"/>
  <c r="E71" i="12"/>
  <c r="E67" i="12"/>
  <c r="C179" i="12"/>
  <c r="C175" i="12"/>
  <c r="C171" i="12"/>
  <c r="C167" i="12"/>
  <c r="C74" i="12"/>
  <c r="C70" i="12"/>
  <c r="C66" i="12"/>
  <c r="C62" i="12"/>
  <c r="C40" i="12"/>
  <c r="C36" i="12"/>
  <c r="C32" i="12"/>
  <c r="C28" i="12"/>
  <c r="C20" i="12"/>
  <c r="C16" i="12"/>
  <c r="C12" i="12"/>
  <c r="C8" i="12"/>
  <c r="E70" i="12"/>
  <c r="E36" i="12"/>
  <c r="E32" i="12"/>
  <c r="E28" i="12"/>
  <c r="E16" i="12"/>
  <c r="E12" i="12"/>
  <c r="E8" i="12"/>
  <c r="C178" i="12"/>
  <c r="C174" i="12"/>
  <c r="C170" i="12"/>
  <c r="E289" i="12"/>
  <c r="E301" i="12"/>
  <c r="E297" i="12"/>
  <c r="E293" i="12"/>
  <c r="E304" i="12"/>
  <c r="E300" i="12"/>
  <c r="E296" i="12"/>
  <c r="E292" i="12"/>
  <c r="E303" i="12"/>
  <c r="E299" i="12"/>
  <c r="E295" i="12"/>
  <c r="E291" i="12"/>
  <c r="E302" i="12"/>
  <c r="E298" i="12"/>
  <c r="E294" i="12"/>
  <c r="E264" i="12"/>
  <c r="E276" i="12"/>
  <c r="E272" i="12"/>
  <c r="E268" i="12"/>
  <c r="E279" i="12"/>
  <c r="E275" i="12"/>
  <c r="E271" i="12"/>
  <c r="E267" i="12"/>
  <c r="E278" i="12"/>
  <c r="E274" i="12"/>
  <c r="E270" i="12"/>
  <c r="E266" i="12"/>
  <c r="E277" i="12"/>
  <c r="E273" i="12"/>
  <c r="E269" i="12"/>
  <c r="B245" i="12"/>
  <c r="E244" i="12"/>
  <c r="E243" i="12"/>
  <c r="E218" i="12"/>
  <c r="E167" i="12"/>
  <c r="B220" i="12"/>
  <c r="E220" i="12" s="1"/>
  <c r="E181" i="12"/>
  <c r="E177" i="12"/>
  <c r="E173" i="12"/>
  <c r="E169" i="12"/>
  <c r="E178" i="12"/>
  <c r="E170" i="12"/>
  <c r="E180" i="12"/>
  <c r="E176" i="12"/>
  <c r="E172" i="12"/>
  <c r="E168" i="12"/>
  <c r="E166" i="12"/>
  <c r="E174" i="12"/>
  <c r="E179" i="12"/>
  <c r="E175" i="12"/>
  <c r="E171" i="12"/>
  <c r="E147" i="12"/>
  <c r="E149" i="12"/>
  <c r="B120" i="12" l="1"/>
  <c r="E120" i="12" s="1"/>
  <c r="C119" i="12"/>
  <c r="C97" i="12"/>
  <c r="B100" i="13"/>
  <c r="E100" i="13" s="1"/>
  <c r="C47" i="12"/>
  <c r="B48" i="12"/>
  <c r="E48" i="12" s="1"/>
  <c r="C99" i="13"/>
  <c r="E458" i="13"/>
  <c r="C458" i="13"/>
  <c r="B459" i="13"/>
  <c r="B393" i="13"/>
  <c r="E393" i="13" s="1"/>
  <c r="C392" i="13"/>
  <c r="B409" i="12"/>
  <c r="E408" i="12"/>
  <c r="C113" i="13"/>
  <c r="B622" i="13"/>
  <c r="E622" i="13" s="1"/>
  <c r="B593" i="13"/>
  <c r="E593" i="13" s="1"/>
  <c r="B477" i="13"/>
  <c r="E477" i="13" s="1"/>
  <c r="C476" i="13"/>
  <c r="C433" i="13"/>
  <c r="B434" i="13"/>
  <c r="E434" i="13" s="1"/>
  <c r="C416" i="13"/>
  <c r="B417" i="13"/>
  <c r="E417" i="13" s="1"/>
  <c r="C68" i="13"/>
  <c r="B69" i="13"/>
  <c r="E69" i="13" s="1"/>
  <c r="C172" i="13"/>
  <c r="B173" i="13"/>
  <c r="C120" i="12"/>
  <c r="B121" i="12"/>
  <c r="E121" i="12" s="1"/>
  <c r="E113" i="13"/>
  <c r="B115" i="13"/>
  <c r="E115" i="13" s="1"/>
  <c r="C114" i="13"/>
  <c r="B151" i="13"/>
  <c r="E151" i="13" s="1"/>
  <c r="C150" i="13"/>
  <c r="B134" i="13"/>
  <c r="E134" i="13" s="1"/>
  <c r="C133" i="13"/>
  <c r="B99" i="12"/>
  <c r="E99" i="12" s="1"/>
  <c r="C98" i="12"/>
  <c r="B82" i="12"/>
  <c r="E82" i="12" s="1"/>
  <c r="C81" i="12"/>
  <c r="C361" i="13"/>
  <c r="B362" i="13"/>
  <c r="E362" i="13" s="1"/>
  <c r="B340" i="13"/>
  <c r="E340" i="13" s="1"/>
  <c r="C339" i="13"/>
  <c r="B312" i="13"/>
  <c r="E312" i="13" s="1"/>
  <c r="C311" i="13"/>
  <c r="B290" i="13"/>
  <c r="E290" i="13" s="1"/>
  <c r="C289" i="13"/>
  <c r="B263" i="13"/>
  <c r="E263" i="13" s="1"/>
  <c r="C262" i="13"/>
  <c r="B242" i="13"/>
  <c r="E242" i="13" s="1"/>
  <c r="C241" i="13"/>
  <c r="B201" i="13"/>
  <c r="E201" i="13" s="1"/>
  <c r="C200" i="13"/>
  <c r="B80" i="13"/>
  <c r="E80" i="13" s="1"/>
  <c r="C79" i="13"/>
  <c r="B151" i="12"/>
  <c r="C150" i="12"/>
  <c r="E245" i="12"/>
  <c r="B246" i="12"/>
  <c r="B221" i="12"/>
  <c r="E221" i="12" s="1"/>
  <c r="C220" i="12"/>
  <c r="B101" i="13" l="1"/>
  <c r="E101" i="13" s="1"/>
  <c r="C100" i="13"/>
  <c r="B49" i="12"/>
  <c r="E49" i="12" s="1"/>
  <c r="C48" i="12"/>
  <c r="E459" i="13"/>
  <c r="C459" i="13"/>
  <c r="B460" i="13"/>
  <c r="C393" i="13"/>
  <c r="B394" i="13"/>
  <c r="E394" i="13" s="1"/>
  <c r="B410" i="12"/>
  <c r="E409" i="12"/>
  <c r="B623" i="13"/>
  <c r="E623" i="13" s="1"/>
  <c r="B594" i="13"/>
  <c r="E594" i="13" s="1"/>
  <c r="C477" i="13"/>
  <c r="B478" i="13"/>
  <c r="E478" i="13" s="1"/>
  <c r="B435" i="13"/>
  <c r="E435" i="13" s="1"/>
  <c r="C434" i="13"/>
  <c r="B418" i="13"/>
  <c r="E418" i="13" s="1"/>
  <c r="C417" i="13"/>
  <c r="B70" i="13"/>
  <c r="E70" i="13" s="1"/>
  <c r="C69" i="13"/>
  <c r="C173" i="13"/>
  <c r="B174" i="13"/>
  <c r="C121" i="12"/>
  <c r="B122" i="12"/>
  <c r="E122" i="12" s="1"/>
  <c r="C115" i="13"/>
  <c r="B116" i="13"/>
  <c r="E116" i="13" s="1"/>
  <c r="C151" i="13"/>
  <c r="B152" i="13"/>
  <c r="E152" i="13" s="1"/>
  <c r="C134" i="13"/>
  <c r="B135" i="13"/>
  <c r="E135" i="13" s="1"/>
  <c r="C99" i="12"/>
  <c r="B100" i="12"/>
  <c r="E100" i="12" s="1"/>
  <c r="C82" i="12"/>
  <c r="B83" i="12"/>
  <c r="E83" i="12" s="1"/>
  <c r="B363" i="13"/>
  <c r="E363" i="13" s="1"/>
  <c r="C362" i="13"/>
  <c r="C340" i="13"/>
  <c r="B341" i="13"/>
  <c r="E341" i="13" s="1"/>
  <c r="C312" i="13"/>
  <c r="B313" i="13"/>
  <c r="E313" i="13" s="1"/>
  <c r="C290" i="13"/>
  <c r="B291" i="13"/>
  <c r="E291" i="13" s="1"/>
  <c r="C263" i="13"/>
  <c r="B264" i="13"/>
  <c r="E264" i="13" s="1"/>
  <c r="C242" i="13"/>
  <c r="B243" i="13"/>
  <c r="E243" i="13" s="1"/>
  <c r="C201" i="13"/>
  <c r="B202" i="13"/>
  <c r="E202" i="13" s="1"/>
  <c r="C80" i="13"/>
  <c r="B81" i="13"/>
  <c r="E81" i="13" s="1"/>
  <c r="B152" i="12"/>
  <c r="C151" i="12"/>
  <c r="E151" i="12"/>
  <c r="B247" i="12"/>
  <c r="E247" i="12" s="1"/>
  <c r="E246" i="12"/>
  <c r="C221" i="12"/>
  <c r="B222" i="12"/>
  <c r="E222" i="12" s="1"/>
  <c r="B102" i="13" l="1"/>
  <c r="E102" i="13" s="1"/>
  <c r="B50" i="12"/>
  <c r="E50" i="12" s="1"/>
  <c r="C101" i="13"/>
  <c r="C49" i="12"/>
  <c r="E460" i="13"/>
  <c r="B461" i="13"/>
  <c r="C460" i="13"/>
  <c r="B395" i="13"/>
  <c r="E395" i="13" s="1"/>
  <c r="C394" i="13"/>
  <c r="B411" i="12"/>
  <c r="E411" i="12" s="1"/>
  <c r="E410" i="12"/>
  <c r="B117" i="13"/>
  <c r="E117" i="13" s="1"/>
  <c r="B624" i="13"/>
  <c r="E624" i="13" s="1"/>
  <c r="B595" i="13"/>
  <c r="E595" i="13" s="1"/>
  <c r="C478" i="13"/>
  <c r="B479" i="13"/>
  <c r="E479" i="13" s="1"/>
  <c r="C435" i="13"/>
  <c r="B436" i="13"/>
  <c r="E436" i="13" s="1"/>
  <c r="C418" i="13"/>
  <c r="B419" i="13"/>
  <c r="E419" i="13" s="1"/>
  <c r="C70" i="13"/>
  <c r="B71" i="13"/>
  <c r="E71" i="13" s="1"/>
  <c r="C116" i="13"/>
  <c r="B175" i="13"/>
  <c r="C174" i="13"/>
  <c r="B123" i="12"/>
  <c r="E123" i="12" s="1"/>
  <c r="C122" i="12"/>
  <c r="B103" i="13"/>
  <c r="E103" i="13" s="1"/>
  <c r="C152" i="13"/>
  <c r="B153" i="13"/>
  <c r="E153" i="13" s="1"/>
  <c r="C135" i="13"/>
  <c r="B136" i="13"/>
  <c r="E136" i="13" s="1"/>
  <c r="C100" i="12"/>
  <c r="B101" i="12"/>
  <c r="E101" i="12" s="1"/>
  <c r="C83" i="12"/>
  <c r="B84" i="12"/>
  <c r="E84" i="12" s="1"/>
  <c r="C363" i="13"/>
  <c r="B364" i="13"/>
  <c r="E364" i="13" s="1"/>
  <c r="B342" i="13"/>
  <c r="E342" i="13" s="1"/>
  <c r="C341" i="13"/>
  <c r="B314" i="13"/>
  <c r="E314" i="13" s="1"/>
  <c r="C313" i="13"/>
  <c r="B292" i="13"/>
  <c r="E292" i="13" s="1"/>
  <c r="C291" i="13"/>
  <c r="B265" i="13"/>
  <c r="E265" i="13" s="1"/>
  <c r="C264" i="13"/>
  <c r="B244" i="13"/>
  <c r="E244" i="13" s="1"/>
  <c r="C243" i="13"/>
  <c r="B203" i="13"/>
  <c r="E203" i="13" s="1"/>
  <c r="C202" i="13"/>
  <c r="B82" i="13"/>
  <c r="E82" i="13" s="1"/>
  <c r="C81" i="13"/>
  <c r="B153" i="12"/>
  <c r="C152" i="12"/>
  <c r="E152" i="12"/>
  <c r="B248" i="12"/>
  <c r="C222" i="12"/>
  <c r="B223" i="12"/>
  <c r="E223" i="12" s="1"/>
  <c r="B51" i="12" l="1"/>
  <c r="E51" i="12" s="1"/>
  <c r="C50" i="12"/>
  <c r="C102" i="13"/>
  <c r="C117" i="13"/>
  <c r="E461" i="13"/>
  <c r="B462" i="13"/>
  <c r="C461" i="13"/>
  <c r="B118" i="13"/>
  <c r="E118" i="13" s="1"/>
  <c r="C395" i="13"/>
  <c r="B596" i="13"/>
  <c r="E596" i="13" s="1"/>
  <c r="C479" i="13"/>
  <c r="B437" i="13"/>
  <c r="C436" i="13"/>
  <c r="B420" i="13"/>
  <c r="C419" i="13"/>
  <c r="B72" i="13"/>
  <c r="C71" i="13"/>
  <c r="B176" i="13"/>
  <c r="C175" i="13"/>
  <c r="B124" i="12"/>
  <c r="E124" i="12" s="1"/>
  <c r="C123" i="12"/>
  <c r="B104" i="13"/>
  <c r="E104" i="13" s="1"/>
  <c r="C103" i="13"/>
  <c r="B154" i="13"/>
  <c r="E154" i="13" s="1"/>
  <c r="C153" i="13"/>
  <c r="B137" i="13"/>
  <c r="E137" i="13" s="1"/>
  <c r="C136" i="13"/>
  <c r="B102" i="12"/>
  <c r="E102" i="12" s="1"/>
  <c r="C101" i="12"/>
  <c r="B85" i="12"/>
  <c r="E85" i="12" s="1"/>
  <c r="C84" i="12"/>
  <c r="B365" i="13"/>
  <c r="E365" i="13" s="1"/>
  <c r="C364" i="13"/>
  <c r="C342" i="13"/>
  <c r="B343" i="13"/>
  <c r="E343" i="13" s="1"/>
  <c r="C314" i="13"/>
  <c r="B315" i="13"/>
  <c r="E315" i="13" s="1"/>
  <c r="C292" i="13"/>
  <c r="B293" i="13"/>
  <c r="E293" i="13" s="1"/>
  <c r="C265" i="13"/>
  <c r="B266" i="13"/>
  <c r="E266" i="13" s="1"/>
  <c r="C244" i="13"/>
  <c r="B245" i="13"/>
  <c r="E245" i="13" s="1"/>
  <c r="C203" i="13"/>
  <c r="B204" i="13"/>
  <c r="E204" i="13" s="1"/>
  <c r="C82" i="13"/>
  <c r="B83" i="13"/>
  <c r="E83" i="13" s="1"/>
  <c r="B154" i="12"/>
  <c r="C153" i="12"/>
  <c r="E153" i="12"/>
  <c r="B249" i="12"/>
  <c r="E248" i="12"/>
  <c r="C223" i="12"/>
  <c r="B224" i="12"/>
  <c r="E224" i="12" s="1"/>
  <c r="C51" i="12" l="1"/>
  <c r="B52" i="12"/>
  <c r="E52" i="12" s="1"/>
  <c r="B119" i="13"/>
  <c r="E119" i="13" s="1"/>
  <c r="E462" i="13"/>
  <c r="C462" i="13"/>
  <c r="C118" i="13"/>
  <c r="C437" i="13"/>
  <c r="E437" i="13"/>
  <c r="C420" i="13"/>
  <c r="E420" i="13"/>
  <c r="C72" i="13"/>
  <c r="E72" i="13"/>
  <c r="C176" i="13"/>
  <c r="B177" i="13"/>
  <c r="C124" i="12"/>
  <c r="B125" i="12"/>
  <c r="E125" i="12" s="1"/>
  <c r="C104" i="13"/>
  <c r="B105" i="13"/>
  <c r="E105" i="13" s="1"/>
  <c r="C52" i="12"/>
  <c r="B155" i="13"/>
  <c r="E155" i="13" s="1"/>
  <c r="C154" i="13"/>
  <c r="B138" i="13"/>
  <c r="E138" i="13" s="1"/>
  <c r="C137" i="13"/>
  <c r="B103" i="12"/>
  <c r="E103" i="12" s="1"/>
  <c r="C102" i="12"/>
  <c r="B86" i="12"/>
  <c r="E86" i="12" s="1"/>
  <c r="C85" i="12"/>
  <c r="C365" i="13"/>
  <c r="B366" i="13"/>
  <c r="E366" i="13" s="1"/>
  <c r="B344" i="13"/>
  <c r="E344" i="13" s="1"/>
  <c r="C343" i="13"/>
  <c r="B316" i="13"/>
  <c r="E316" i="13" s="1"/>
  <c r="C315" i="13"/>
  <c r="B294" i="13"/>
  <c r="E294" i="13" s="1"/>
  <c r="C293" i="13"/>
  <c r="B267" i="13"/>
  <c r="E267" i="13" s="1"/>
  <c r="C266" i="13"/>
  <c r="B246" i="13"/>
  <c r="E246" i="13" s="1"/>
  <c r="C245" i="13"/>
  <c r="B205" i="13"/>
  <c r="E205" i="13" s="1"/>
  <c r="C204" i="13"/>
  <c r="C83" i="13"/>
  <c r="E84" i="13"/>
  <c r="B155" i="12"/>
  <c r="C154" i="12"/>
  <c r="E154" i="12"/>
  <c r="E249" i="12"/>
  <c r="B250" i="12"/>
  <c r="B225" i="12"/>
  <c r="E225" i="12" s="1"/>
  <c r="C224" i="12"/>
  <c r="B53" i="12" l="1"/>
  <c r="E53" i="12" s="1"/>
  <c r="B120" i="13"/>
  <c r="E120" i="13" s="1"/>
  <c r="C119" i="13"/>
  <c r="C177" i="13"/>
  <c r="C125" i="12"/>
  <c r="C105" i="13"/>
  <c r="B106" i="13"/>
  <c r="E106" i="13" s="1"/>
  <c r="C155" i="13"/>
  <c r="B156" i="13"/>
  <c r="E156" i="13" s="1"/>
  <c r="C138" i="13"/>
  <c r="B139" i="13"/>
  <c r="E139" i="13" s="1"/>
  <c r="C103" i="12"/>
  <c r="B104" i="12"/>
  <c r="E104" i="12" s="1"/>
  <c r="C86" i="12"/>
  <c r="B87" i="12"/>
  <c r="E87" i="12" s="1"/>
  <c r="B367" i="13"/>
  <c r="E367" i="13" s="1"/>
  <c r="C366" i="13"/>
  <c r="C344" i="13"/>
  <c r="B345" i="13"/>
  <c r="E345" i="13" s="1"/>
  <c r="C316" i="13"/>
  <c r="B317" i="13"/>
  <c r="E317" i="13" s="1"/>
  <c r="C294" i="13"/>
  <c r="B295" i="13"/>
  <c r="E295" i="13" s="1"/>
  <c r="C267" i="13"/>
  <c r="B268" i="13"/>
  <c r="E268" i="13" s="1"/>
  <c r="C246" i="13"/>
  <c r="B247" i="13"/>
  <c r="E247" i="13" s="1"/>
  <c r="C205" i="13"/>
  <c r="B206" i="13"/>
  <c r="E206" i="13" s="1"/>
  <c r="C84" i="13"/>
  <c r="B85" i="13"/>
  <c r="E85" i="13" s="1"/>
  <c r="B156" i="12"/>
  <c r="C155" i="12"/>
  <c r="E155" i="12"/>
  <c r="B251" i="12"/>
  <c r="E250" i="12"/>
  <c r="C225" i="12"/>
  <c r="B226" i="12"/>
  <c r="E226" i="12" s="1"/>
  <c r="B54" i="12" l="1"/>
  <c r="E54" i="12" s="1"/>
  <c r="C53" i="12"/>
  <c r="C120" i="13"/>
  <c r="B121" i="13"/>
  <c r="E121" i="13" s="1"/>
  <c r="B107" i="13"/>
  <c r="E107" i="13" s="1"/>
  <c r="C106" i="13"/>
  <c r="C156" i="13"/>
  <c r="B157" i="13"/>
  <c r="E157" i="13" s="1"/>
  <c r="C139" i="13"/>
  <c r="B140" i="13"/>
  <c r="E140" i="13" s="1"/>
  <c r="C104" i="12"/>
  <c r="B105" i="12"/>
  <c r="E105" i="12" s="1"/>
  <c r="C87" i="12"/>
  <c r="B88" i="12"/>
  <c r="E88" i="12" s="1"/>
  <c r="C367" i="13"/>
  <c r="B368" i="13"/>
  <c r="E368" i="13" s="1"/>
  <c r="B346" i="13"/>
  <c r="E346" i="13" s="1"/>
  <c r="C345" i="13"/>
  <c r="B318" i="13"/>
  <c r="E318" i="13" s="1"/>
  <c r="C317" i="13"/>
  <c r="B296" i="13"/>
  <c r="E296" i="13" s="1"/>
  <c r="C295" i="13"/>
  <c r="B269" i="13"/>
  <c r="E269" i="13" s="1"/>
  <c r="C268" i="13"/>
  <c r="B248" i="13"/>
  <c r="E248" i="13" s="1"/>
  <c r="C247" i="13"/>
  <c r="B207" i="13"/>
  <c r="E207" i="13" s="1"/>
  <c r="C206" i="13"/>
  <c r="B86" i="13"/>
  <c r="E86" i="13" s="1"/>
  <c r="C85" i="13"/>
  <c r="B157" i="12"/>
  <c r="C156" i="12"/>
  <c r="E156" i="12"/>
  <c r="B252" i="12"/>
  <c r="E251" i="12"/>
  <c r="C226" i="12"/>
  <c r="B227" i="12"/>
  <c r="E227" i="12" s="1"/>
  <c r="C54" i="12" l="1"/>
  <c r="B55" i="12"/>
  <c r="E55" i="12" s="1"/>
  <c r="C121" i="13"/>
  <c r="B122" i="13"/>
  <c r="E122" i="13" s="1"/>
  <c r="B108" i="13"/>
  <c r="E108" i="13" s="1"/>
  <c r="C107" i="13"/>
  <c r="B158" i="13"/>
  <c r="E158" i="13" s="1"/>
  <c r="C157" i="13"/>
  <c r="B141" i="13"/>
  <c r="E141" i="13" s="1"/>
  <c r="C140" i="13"/>
  <c r="B106" i="12"/>
  <c r="E106" i="12" s="1"/>
  <c r="C105" i="12"/>
  <c r="B89" i="12"/>
  <c r="E89" i="12" s="1"/>
  <c r="C88" i="12"/>
  <c r="B369" i="13"/>
  <c r="E369" i="13" s="1"/>
  <c r="C368" i="13"/>
  <c r="C346" i="13"/>
  <c r="B347" i="13"/>
  <c r="E347" i="13" s="1"/>
  <c r="C318" i="13"/>
  <c r="B319" i="13"/>
  <c r="E319" i="13" s="1"/>
  <c r="C296" i="13"/>
  <c r="B297" i="13"/>
  <c r="E297" i="13" s="1"/>
  <c r="C269" i="13"/>
  <c r="B270" i="13"/>
  <c r="E270" i="13" s="1"/>
  <c r="C248" i="13"/>
  <c r="B249" i="13"/>
  <c r="E249" i="13" s="1"/>
  <c r="C207" i="13"/>
  <c r="B208" i="13"/>
  <c r="C86" i="13"/>
  <c r="B87" i="13"/>
  <c r="E87" i="13" s="1"/>
  <c r="B158" i="12"/>
  <c r="C157" i="12"/>
  <c r="E157" i="12"/>
  <c r="B253" i="12"/>
  <c r="E252" i="12"/>
  <c r="C227" i="12"/>
  <c r="B228" i="12"/>
  <c r="E228" i="12" s="1"/>
  <c r="C55" i="12" l="1"/>
  <c r="B56" i="12"/>
  <c r="E56" i="12" s="1"/>
  <c r="B123" i="13"/>
  <c r="E123" i="13" s="1"/>
  <c r="C122" i="13"/>
  <c r="C108" i="13"/>
  <c r="B109" i="13"/>
  <c r="E109" i="13" s="1"/>
  <c r="B159" i="13"/>
  <c r="E159" i="13" s="1"/>
  <c r="C158" i="13"/>
  <c r="B142" i="13"/>
  <c r="E142" i="13" s="1"/>
  <c r="C141" i="13"/>
  <c r="B107" i="12"/>
  <c r="E107" i="12" s="1"/>
  <c r="C106" i="12"/>
  <c r="B90" i="12"/>
  <c r="E90" i="12" s="1"/>
  <c r="C89" i="12"/>
  <c r="C369" i="13"/>
  <c r="B370" i="13"/>
  <c r="E370" i="13" s="1"/>
  <c r="B348" i="13"/>
  <c r="E348" i="13" s="1"/>
  <c r="C347" i="13"/>
  <c r="B320" i="13"/>
  <c r="E320" i="13" s="1"/>
  <c r="C319" i="13"/>
  <c r="B298" i="13"/>
  <c r="E298" i="13" s="1"/>
  <c r="C297" i="13"/>
  <c r="B271" i="13"/>
  <c r="E271" i="13" s="1"/>
  <c r="C270" i="13"/>
  <c r="B250" i="13"/>
  <c r="E250" i="13" s="1"/>
  <c r="C249" i="13"/>
  <c r="B209" i="13"/>
  <c r="C208" i="13"/>
  <c r="B88" i="13"/>
  <c r="E88" i="13" s="1"/>
  <c r="C87" i="13"/>
  <c r="B159" i="12"/>
  <c r="C158" i="12"/>
  <c r="E158" i="12"/>
  <c r="B254" i="12"/>
  <c r="E253" i="12"/>
  <c r="B229" i="12"/>
  <c r="E229" i="12" s="1"/>
  <c r="C228" i="12"/>
  <c r="C56" i="12" l="1"/>
  <c r="B57" i="12"/>
  <c r="E57" i="12" s="1"/>
  <c r="C123" i="13"/>
  <c r="B124" i="13"/>
  <c r="E124" i="13" s="1"/>
  <c r="C109" i="13"/>
  <c r="C159" i="13"/>
  <c r="B160" i="13"/>
  <c r="E160" i="13" s="1"/>
  <c r="C142" i="13"/>
  <c r="B143" i="13"/>
  <c r="E143" i="13" s="1"/>
  <c r="C107" i="12"/>
  <c r="B108" i="12"/>
  <c r="E108" i="12" s="1"/>
  <c r="C90" i="12"/>
  <c r="B91" i="12"/>
  <c r="E91" i="12" s="1"/>
  <c r="B371" i="13"/>
  <c r="E371" i="13" s="1"/>
  <c r="C370" i="13"/>
  <c r="C348" i="13"/>
  <c r="B349" i="13"/>
  <c r="E349" i="13" s="1"/>
  <c r="C320" i="13"/>
  <c r="B321" i="13"/>
  <c r="E321" i="13" s="1"/>
  <c r="C298" i="13"/>
  <c r="B299" i="13"/>
  <c r="E299" i="13" s="1"/>
  <c r="C271" i="13"/>
  <c r="B272" i="13"/>
  <c r="E272" i="13" s="1"/>
  <c r="C250" i="13"/>
  <c r="B251" i="13"/>
  <c r="E251" i="13" s="1"/>
  <c r="C209" i="13"/>
  <c r="B210" i="13"/>
  <c r="C124" i="13"/>
  <c r="B125" i="13"/>
  <c r="E125" i="13" s="1"/>
  <c r="C88" i="13"/>
  <c r="B89" i="13"/>
  <c r="E89" i="13" s="1"/>
  <c r="B160" i="12"/>
  <c r="C159" i="12"/>
  <c r="E159" i="12"/>
  <c r="B255" i="12"/>
  <c r="E254" i="12"/>
  <c r="C229" i="12"/>
  <c r="B230" i="12"/>
  <c r="E230" i="12" s="1"/>
  <c r="C57" i="12" l="1"/>
  <c r="C160" i="13"/>
  <c r="C143" i="13"/>
  <c r="C108" i="12"/>
  <c r="C91" i="12"/>
  <c r="C371" i="13"/>
  <c r="B372" i="13"/>
  <c r="E372" i="13" s="1"/>
  <c r="B350" i="13"/>
  <c r="E350" i="13" s="1"/>
  <c r="C349" i="13"/>
  <c r="B322" i="13"/>
  <c r="E322" i="13" s="1"/>
  <c r="C321" i="13"/>
  <c r="B300" i="13"/>
  <c r="E300" i="13" s="1"/>
  <c r="C299" i="13"/>
  <c r="B273" i="13"/>
  <c r="E273" i="13" s="1"/>
  <c r="C272" i="13"/>
  <c r="B252" i="13"/>
  <c r="E252" i="13" s="1"/>
  <c r="C251" i="13"/>
  <c r="B211" i="13"/>
  <c r="C210" i="13"/>
  <c r="B126" i="13"/>
  <c r="C125" i="13"/>
  <c r="B90" i="13"/>
  <c r="E90" i="13" s="1"/>
  <c r="C89" i="13"/>
  <c r="B161" i="12"/>
  <c r="C160" i="12"/>
  <c r="E160" i="12"/>
  <c r="B256" i="12"/>
  <c r="E255" i="12"/>
  <c r="B231" i="12"/>
  <c r="E231" i="12" s="1"/>
  <c r="C230" i="12"/>
  <c r="C126" i="13" l="1"/>
  <c r="E126" i="13"/>
  <c r="B373" i="13"/>
  <c r="C372" i="13"/>
  <c r="C350" i="13"/>
  <c r="B351" i="13"/>
  <c r="E351" i="13" s="1"/>
  <c r="C322" i="13"/>
  <c r="B323" i="13"/>
  <c r="E323" i="13" s="1"/>
  <c r="C300" i="13"/>
  <c r="B301" i="13"/>
  <c r="E301" i="13" s="1"/>
  <c r="C273" i="13"/>
  <c r="B274" i="13"/>
  <c r="E274" i="13" s="1"/>
  <c r="C252" i="13"/>
  <c r="B253" i="13"/>
  <c r="E253" i="13" s="1"/>
  <c r="C211" i="13"/>
  <c r="B212" i="13"/>
  <c r="C90" i="13"/>
  <c r="B91" i="13"/>
  <c r="E91" i="13" s="1"/>
  <c r="B162" i="12"/>
  <c r="C161" i="12"/>
  <c r="E161" i="12"/>
  <c r="B257" i="12"/>
  <c r="E257" i="12" s="1"/>
  <c r="E256" i="12"/>
  <c r="C231" i="12"/>
  <c r="B232" i="12"/>
  <c r="E232" i="12" s="1"/>
  <c r="C373" i="13" l="1"/>
  <c r="E373" i="13"/>
  <c r="B352" i="13"/>
  <c r="C351" i="13"/>
  <c r="B324" i="13"/>
  <c r="C323" i="13"/>
  <c r="B302" i="13"/>
  <c r="C301" i="13"/>
  <c r="B275" i="13"/>
  <c r="C274" i="13"/>
  <c r="B254" i="13"/>
  <c r="C253" i="13"/>
  <c r="B213" i="13"/>
  <c r="C212" i="13"/>
  <c r="B92" i="13"/>
  <c r="C91" i="13"/>
  <c r="C162" i="12"/>
  <c r="E162" i="12"/>
  <c r="B233" i="12"/>
  <c r="C232" i="12"/>
  <c r="C92" i="13" l="1"/>
  <c r="E92" i="13"/>
  <c r="C213" i="13"/>
  <c r="C254" i="13"/>
  <c r="E254" i="13"/>
  <c r="C324" i="13"/>
  <c r="E324" i="13"/>
  <c r="C352" i="13"/>
  <c r="E352" i="13"/>
  <c r="C275" i="13"/>
  <c r="E275" i="13"/>
  <c r="C302" i="13"/>
  <c r="E302" i="13"/>
  <c r="C233" i="12"/>
  <c r="E233" i="12"/>
</calcChain>
</file>

<file path=xl/sharedStrings.xml><?xml version="1.0" encoding="utf-8"?>
<sst xmlns="http://schemas.openxmlformats.org/spreadsheetml/2006/main" count="3707" uniqueCount="992">
  <si>
    <t>Status</t>
  </si>
  <si>
    <t>0x00</t>
  </si>
  <si>
    <t>.bit 0</t>
  </si>
  <si>
    <t>Alarm</t>
  </si>
  <si>
    <t>.bit 1</t>
  </si>
  <si>
    <t>Electrolysis polarity</t>
  </si>
  <si>
    <t>.bit 2</t>
  </si>
  <si>
    <t>.bit 3</t>
  </si>
  <si>
    <t>.bit 4</t>
  </si>
  <si>
    <t>.bit 5</t>
  </si>
  <si>
    <t>.bit 6</t>
  </si>
  <si>
    <t>initializing_ppm</t>
  </si>
  <si>
    <t>.bit 7</t>
  </si>
  <si>
    <t>.bit 8</t>
  </si>
  <si>
    <t>.bit 9</t>
  </si>
  <si>
    <t>.bit 10</t>
  </si>
  <si>
    <t>.bit 11</t>
  </si>
  <si>
    <t>.bit 12</t>
  </si>
  <si>
    <t>.bit 13</t>
  </si>
  <si>
    <t>.bit 14</t>
  </si>
  <si>
    <t>.bit 15</t>
  </si>
  <si>
    <t>temp_output</t>
  </si>
  <si>
    <t>0x01</t>
  </si>
  <si>
    <t>low_salt</t>
  </si>
  <si>
    <t>high_salt</t>
  </si>
  <si>
    <t>check_cell</t>
  </si>
  <si>
    <t>Low pH</t>
  </si>
  <si>
    <t>High pH</t>
  </si>
  <si>
    <t>low_mv</t>
  </si>
  <si>
    <t>high_mv</t>
  </si>
  <si>
    <t>low_ppm</t>
  </si>
  <si>
    <t>0x02</t>
  </si>
  <si>
    <t>rsp_calibrado</t>
  </si>
  <si>
    <t>0x03</t>
  </si>
  <si>
    <t>0x04</t>
  </si>
  <si>
    <t>current_electrodes</t>
  </si>
  <si>
    <t>0x05</t>
  </si>
  <si>
    <t>0x06</t>
  </si>
  <si>
    <t>0 - 100 (%)</t>
  </si>
  <si>
    <t>0x07</t>
  </si>
  <si>
    <t>0x08</t>
  </si>
  <si>
    <t>0x09</t>
  </si>
  <si>
    <t>ph_measure</t>
  </si>
  <si>
    <t>0x0A</t>
  </si>
  <si>
    <t>0x0B</t>
  </si>
  <si>
    <t>0x0C</t>
  </si>
  <si>
    <t>0x0D</t>
  </si>
  <si>
    <t>orp_measure</t>
  </si>
  <si>
    <t>ppm_measure</t>
  </si>
  <si>
    <t>0x10</t>
  </si>
  <si>
    <t>ppm_probe_current</t>
  </si>
  <si>
    <t>0x11</t>
  </si>
  <si>
    <t>temperature measure</t>
  </si>
  <si>
    <t>electrolysis_status</t>
  </si>
  <si>
    <t>Electrolysis running</t>
  </si>
  <si>
    <t>voltage electrodes</t>
  </si>
  <si>
    <t>ph_output</t>
  </si>
  <si>
    <t>input</t>
  </si>
  <si>
    <t>holding</t>
  </si>
  <si>
    <t>elect_control_word</t>
  </si>
  <si>
    <t>cover_ctrl_enable</t>
  </si>
  <si>
    <t>1: entrada cobertor habilitado</t>
  </si>
  <si>
    <t>cover_ctrl_config</t>
  </si>
  <si>
    <t>test_mode</t>
  </si>
  <si>
    <t>cleaning_period_l</t>
  </si>
  <si>
    <t>cleaning_period_h</t>
  </si>
  <si>
    <t>setpoint_production_normal</t>
  </si>
  <si>
    <t>0- 100 (%)</t>
  </si>
  <si>
    <t>setpoint_production_cover</t>
  </si>
  <si>
    <t>ph_control_word</t>
  </si>
  <si>
    <t>Estado</t>
  </si>
  <si>
    <t>OFF</t>
  </si>
  <si>
    <t>AUTO</t>
  </si>
  <si>
    <t>X</t>
  </si>
  <si>
    <t>1: instalado sensor nivel garrafa</t>
  </si>
  <si>
    <t>DOSIS</t>
  </si>
  <si>
    <t>0: ácido, 1: base</t>
  </si>
  <si>
    <t>0: 2 seg.; 1: 2 minutos</t>
  </si>
  <si>
    <t>CONFIG_PH_RESET</t>
  </si>
  <si>
    <t>CAL_PH_RESET</t>
  </si>
  <si>
    <t>RESET a Recta de Fábrica</t>
  </si>
  <si>
    <t>CAL PH7</t>
  </si>
  <si>
    <t>CAL PH4</t>
  </si>
  <si>
    <t>CAL FAST</t>
  </si>
  <si>
    <t>ph_high_alarm_limit</t>
  </si>
  <si>
    <t>ph_low_alarm_limit</t>
  </si>
  <si>
    <t>acid-base</t>
  </si>
  <si>
    <t>hysteresis_ph</t>
  </si>
  <si>
    <t>enable_intelligent_dosing_ph</t>
  </si>
  <si>
    <t>stop_si_high</t>
  </si>
  <si>
    <t>stop_si_low</t>
  </si>
  <si>
    <t>700 … 780 (PH 7,00 … 7,80)</t>
  </si>
  <si>
    <t>límite máximo velocidad bomba dosificación (%)</t>
  </si>
  <si>
    <t>cl_control_word</t>
  </si>
  <si>
    <t>CAL_PPM_RESET</t>
  </si>
  <si>
    <t>CAL_ORP_RESET</t>
  </si>
  <si>
    <t>cal_ppm_std</t>
  </si>
  <si>
    <t>cal_ppm_0</t>
  </si>
  <si>
    <t>cal_470mv</t>
  </si>
  <si>
    <t>enable_cl_reservoir_detection</t>
  </si>
  <si>
    <t>reductor_oxidant</t>
  </si>
  <si>
    <t>hysteresis_cl</t>
  </si>
  <si>
    <t>ppm_orp_regulator_cl</t>
  </si>
  <si>
    <t>en_intelligent_dosing_cl</t>
  </si>
  <si>
    <t>flow_alarm_rst</t>
  </si>
  <si>
    <t>high_salt_rst</t>
  </si>
  <si>
    <t>low_salt_rst</t>
  </si>
  <si>
    <t>check_cell_rst</t>
  </si>
  <si>
    <t>low_mv_rst</t>
  </si>
  <si>
    <t>high_mv_rst</t>
  </si>
  <si>
    <t>low_ppm_rst</t>
  </si>
  <si>
    <t>calibration_value</t>
  </si>
  <si>
    <t>temp_status</t>
  </si>
  <si>
    <t>low_temperature</t>
  </si>
  <si>
    <t>high_temperature</t>
  </si>
  <si>
    <t>threshold_high_temperature</t>
  </si>
  <si>
    <t>threshold_low_temperature</t>
  </si>
  <si>
    <t>calibration</t>
  </si>
  <si>
    <t>temp_config</t>
  </si>
  <si>
    <t>ph</t>
  </si>
  <si>
    <t>caudal</t>
  </si>
  <si>
    <t>Low pH_rst</t>
  </si>
  <si>
    <t>High pH_rst</t>
  </si>
  <si>
    <t>high_temperature_rst</t>
  </si>
  <si>
    <t>low_temperature_rst</t>
  </si>
  <si>
    <t>config_cl_reset</t>
  </si>
  <si>
    <t>flow_status</t>
  </si>
  <si>
    <t>output_flow_connector</t>
  </si>
  <si>
    <t>flow_config</t>
  </si>
  <si>
    <t>en_input_flow_internal_for_internal_use</t>
  </si>
  <si>
    <t>en_output_connector</t>
  </si>
  <si>
    <t>GENERAL</t>
  </si>
  <si>
    <t>FLOW</t>
  </si>
  <si>
    <t>ELECTROLYSIS</t>
  </si>
  <si>
    <t>PH</t>
  </si>
  <si>
    <t>cl_input_status</t>
  </si>
  <si>
    <t>CL</t>
  </si>
  <si>
    <t>TEMP</t>
  </si>
  <si>
    <t>fh_1</t>
  </si>
  <si>
    <t>AAMM (año/mes) / AA offset del año / Año=AA+2000</t>
  </si>
  <si>
    <t>fh_2</t>
  </si>
  <si>
    <t>DDHH (día/hora)</t>
  </si>
  <si>
    <t>fh_3</t>
  </si>
  <si>
    <t>MMSS (minutos/segundos)</t>
  </si>
  <si>
    <t>auto_manual</t>
  </si>
  <si>
    <t>on_off</t>
  </si>
  <si>
    <t>high_ppm_rst</t>
  </si>
  <si>
    <t>Baja sal</t>
  </si>
  <si>
    <t>Alta sal</t>
  </si>
  <si>
    <t>Check Cell</t>
  </si>
  <si>
    <t>bajo ph</t>
  </si>
  <si>
    <t>alto ph</t>
  </si>
  <si>
    <t>Alarma depósito salida pH 1</t>
  </si>
  <si>
    <t>Pumpstop salida pH 1</t>
  </si>
  <si>
    <t>bajo ORP</t>
  </si>
  <si>
    <t>alto ORP</t>
  </si>
  <si>
    <t>bajo PPM</t>
  </si>
  <si>
    <t>alto PPM</t>
  </si>
  <si>
    <t>baja temperatura</t>
  </si>
  <si>
    <t>alta temperatura</t>
  </si>
  <si>
    <t>flow</t>
  </si>
  <si>
    <t>Electrolisis</t>
  </si>
  <si>
    <t>temperatura</t>
  </si>
  <si>
    <t>Conductividad</t>
  </si>
  <si>
    <t>Presión</t>
  </si>
  <si>
    <t>Hora</t>
  </si>
  <si>
    <t>Inputs</t>
  </si>
  <si>
    <t>Outputs</t>
  </si>
  <si>
    <t>1: Relé salida flow cerrado</t>
  </si>
  <si>
    <t>0 - 100 (%) (setpoint normal o setpoint cover)</t>
  </si>
  <si>
    <t>1: Dosificando pH.</t>
  </si>
  <si>
    <t>decimal</t>
  </si>
  <si>
    <t>hex</t>
  </si>
  <si>
    <t>comun</t>
  </si>
  <si>
    <t>cl_output_connector</t>
  </si>
  <si>
    <t>1: Running; 0: Halted (e.g. parado por falta de flujo)</t>
  </si>
  <si>
    <t>0 - 100 (%). Porcentaje producción instantáneo</t>
  </si>
  <si>
    <t>Minutos que lleva dosificando: 0 - 119. Usado para pumpstop</t>
  </si>
  <si>
    <t>0 - 999 mV</t>
  </si>
  <si>
    <t>2 decimales (159 = 1,59 ppm)</t>
  </si>
  <si>
    <t>1 decimal (159 = 15,9 mA)</t>
  </si>
  <si>
    <t>ph_status_output_1</t>
  </si>
  <si>
    <t>ph_pct_pump_output_1</t>
  </si>
  <si>
    <t>cl_status_output_1</t>
  </si>
  <si>
    <t>cl_pct_pump_output_1</t>
  </si>
  <si>
    <t>cl_dosage_time_output_1</t>
  </si>
  <si>
    <t>ph_control_word_output_1</t>
  </si>
  <si>
    <t>setpoint_ph_output_1</t>
  </si>
  <si>
    <t>dosage_time_limit_ph_output_1</t>
  </si>
  <si>
    <t>max_pct_pump_ph_output_1</t>
  </si>
  <si>
    <t>intelligent_dosing_rank_ph_output_1</t>
  </si>
  <si>
    <t>cl_control_word_output_1</t>
  </si>
  <si>
    <t>dosage_time_limit_cl_output_1</t>
  </si>
  <si>
    <t>max_pct_pump_cl_output_1</t>
  </si>
  <si>
    <t>intelligent_dosing_range_cl_output_1</t>
  </si>
  <si>
    <t>external_cl_control_enable</t>
  </si>
  <si>
    <t>internal_cl_control_enable</t>
  </si>
  <si>
    <t>1: habilitado el control de la electrolisis por CL externo</t>
  </si>
  <si>
    <t>1: habilitado el control de la electrolisis por sensor propio CL</t>
  </si>
  <si>
    <t>1: habilitada la salida CL para control cascada</t>
  </si>
  <si>
    <t>g_per_day_limit</t>
  </si>
  <si>
    <t>production_pct_target</t>
  </si>
  <si>
    <t>production_pct_now</t>
  </si>
  <si>
    <t>g_hour_production_now</t>
  </si>
  <si>
    <t>1: alcanzado límite producción g/día</t>
  </si>
  <si>
    <t>production_limit_reached</t>
  </si>
  <si>
    <t>1: Relé salida cloro cerrado</t>
  </si>
  <si>
    <t>0 - 999 (1 decimal: 712: 7,12)</t>
  </si>
  <si>
    <t>Fusible fundido de salida CL 1</t>
  </si>
  <si>
    <t>Pumpstop salida CL 1</t>
  </si>
  <si>
    <t>Alarma depósito salida CL 1</t>
  </si>
  <si>
    <t>pump_stop_cl_output_1</t>
  </si>
  <si>
    <t>blown_fuse_cl_output_1</t>
  </si>
  <si>
    <t>Fusible fundido de salida pH 1</t>
  </si>
  <si>
    <t>tank_level_alarm_ph_output_1</t>
  </si>
  <si>
    <t>pump_stop_ph_output_1</t>
  </si>
  <si>
    <t>blown_fuse_ph_output_1</t>
  </si>
  <si>
    <t>tank_level_alarm_cl_output_1</t>
  </si>
  <si>
    <t>high_ppm</t>
  </si>
  <si>
    <t>threshold_low_salt</t>
  </si>
  <si>
    <t>threshold_high_salt</t>
  </si>
  <si>
    <t>SALT</t>
  </si>
  <si>
    <t>salt_config</t>
  </si>
  <si>
    <t>salt measure</t>
  </si>
  <si>
    <t>tank_level_alarm_ph_output_1_rst</t>
  </si>
  <si>
    <t>pump_stop_ph_output_1_rst</t>
  </si>
  <si>
    <t>blown_fuse_ph_output_1_rst</t>
  </si>
  <si>
    <t>tank_level_alarm_cl_output_1_rst</t>
  </si>
  <si>
    <t>pump_stop_cl_output_1_rst</t>
  </si>
  <si>
    <t>blown_fuse_cl_output_1_rst</t>
  </si>
  <si>
    <t>ID_Address</t>
  </si>
  <si>
    <t>COM_Setup</t>
  </si>
  <si>
    <t>ID_Manufacturer_hi</t>
  </si>
  <si>
    <t>ID_Manufacturer_lo</t>
  </si>
  <si>
    <t>ID_Product_code_hi</t>
  </si>
  <si>
    <t>ID_Product_code_lo</t>
  </si>
  <si>
    <t>CUSTOMER_code</t>
  </si>
  <si>
    <t>Watchdog_time</t>
  </si>
  <si>
    <t>Watchdog_config</t>
  </si>
  <si>
    <t>Customer_code</t>
  </si>
  <si>
    <t xml:space="preserve"> 9600, 8, E, 1</t>
  </si>
  <si>
    <t>IDEGIS</t>
  </si>
  <si>
    <t>19200, 8, E, 1</t>
  </si>
  <si>
    <t>9600, 8, N, 2</t>
  </si>
  <si>
    <t>CERTIKIN</t>
  </si>
  <si>
    <t>19200, 8, N, 2</t>
  </si>
  <si>
    <t>9600, 8, N, 1</t>
  </si>
  <si>
    <t>19200, 8, N, 1</t>
  </si>
  <si>
    <t>IDENTIFICACIÓN</t>
  </si>
  <si>
    <t>Holding name</t>
  </si>
  <si>
    <t>Holding number</t>
  </si>
  <si>
    <t>Coil name</t>
  </si>
  <si>
    <t>Coil number</t>
  </si>
  <si>
    <t>Alarms- Flow (*only read)</t>
  </si>
  <si>
    <t>Alarms- Electrolysis (*only read)</t>
  </si>
  <si>
    <t>Alarms- PH (*only read)</t>
  </si>
  <si>
    <t>Alarms- CL (*only read)</t>
  </si>
  <si>
    <t xml:space="preserve">Alarms reset- Flow </t>
  </si>
  <si>
    <t xml:space="preserve">Alarms reset- Electrolysis </t>
  </si>
  <si>
    <t>Alarms reset- pH</t>
  </si>
  <si>
    <t>Alarms reset- CL</t>
  </si>
  <si>
    <t>valor de ph o ppm en calibrado "rápido"</t>
  </si>
  <si>
    <t>1: enable flow burbuja</t>
  </si>
  <si>
    <t>1: enable flow externo (inductivo o paleta)</t>
  </si>
  <si>
    <t>1: enable salida flujo</t>
  </si>
  <si>
    <t>Reset configuración PH</t>
  </si>
  <si>
    <t>Tabla</t>
  </si>
  <si>
    <t>1: bomba off si alarma de high</t>
  </si>
  <si>
    <t>1: bomba off si alarma de low</t>
  </si>
  <si>
    <t xml:space="preserve">0: ORP; 1: PPM </t>
  </si>
  <si>
    <t>0: reductor, 1: oxidante</t>
  </si>
  <si>
    <t>calibracion</t>
  </si>
  <si>
    <t>ºC(1 decimal: 256: 25,6ºC)</t>
  </si>
  <si>
    <t>ppt salt (2 decimal: 365 = 3,65 ppt)</t>
  </si>
  <si>
    <t>umbral alarma low (1 decimal: 256: 25,6ºC)</t>
  </si>
  <si>
    <t>umbral alarma high (1 decimal: 256: 25,6ºC)</t>
  </si>
  <si>
    <t>umbral alarma low (2 decimal: 365 = 3,65 ppt)</t>
  </si>
  <si>
    <t>umbral alarma high (2 decimal: 365 = 3,65 ppt)</t>
  </si>
  <si>
    <t>ganancia algoritmo "intelligent-dosing".  E.g. 20 =&gt; 0,20 pH =&gt; Distancia al setpoint a la que empieza a bajar el % dosificación</t>
  </si>
  <si>
    <t>1: Salida temperatura ON</t>
  </si>
  <si>
    <t>1: ppm inicializando, medida inestable</t>
  </si>
  <si>
    <t>g_production_today</t>
  </si>
  <si>
    <t>time_electrolysis_today</t>
  </si>
  <si>
    <t>Producción g cloro hoy (desde las 0:00)</t>
  </si>
  <si>
    <t>Descripción</t>
  </si>
  <si>
    <t>1: cobertor NC, 0: cobertor NO</t>
  </si>
  <si>
    <t>0x408</t>
  </si>
  <si>
    <t>0x409</t>
  </si>
  <si>
    <t>2h/2h</t>
  </si>
  <si>
    <t>3h/3h</t>
  </si>
  <si>
    <t>4h/4h</t>
  </si>
  <si>
    <t>Período polar.</t>
  </si>
  <si>
    <t>1: calibramos el 2º punto de una calibración estándar (PH 4.0)</t>
  </si>
  <si>
    <t>1: calibramos el 1º de una calibración estándar (PH 7.0)</t>
  </si>
  <si>
    <t>tiempo dosificación máximo para pumpstop</t>
  </si>
  <si>
    <t>1: calibrado ORP</t>
  </si>
  <si>
    <t>RESET ORP a Recta de Fábrica</t>
  </si>
  <si>
    <t>RESET PPM a Recto de fábrica</t>
  </si>
  <si>
    <t>1: calibrado de 0 de los PPM</t>
  </si>
  <si>
    <t>1: calibrado de los PPM</t>
  </si>
  <si>
    <t>Reset configuración CL</t>
  </si>
  <si>
    <t>ganancia algoritmo "intelligent-dosing".  E.g. 20 =&gt; 0,20 PPM =&gt; Distancia al setpoint a la que empieza a bajar el % dosificación</t>
  </si>
  <si>
    <t>2m/2m</t>
  </si>
  <si>
    <t>0-65535 g (0: No limit)</t>
  </si>
  <si>
    <t>1: On; 0: Off</t>
  </si>
  <si>
    <t>ppm_low_alarm_limit</t>
  </si>
  <si>
    <t>ppm_high_alarm_limit</t>
  </si>
  <si>
    <t>mV_low_alarm_limit</t>
  </si>
  <si>
    <t>mV_high_alarm_limit</t>
  </si>
  <si>
    <t>1(si hay ppm); 0 (orp)</t>
  </si>
  <si>
    <t>Internal_flow_elect_status</t>
  </si>
  <si>
    <t>1: Flow burbuja enabled y con burbuja de aire (coil 0x300=1 &amp; inp 0x100=1)</t>
  </si>
  <si>
    <t>Corriente instantáneo salida(2 decimales sin signo:1741=&gt;17,41 A)</t>
  </si>
  <si>
    <t>Voltaje instantáneo salida (2 decimales sin signo: 1741=&gt;17,41 V)</t>
  </si>
  <si>
    <t>1: Salida Algoritmo ORP/PPM = ON</t>
  </si>
  <si>
    <t>en_input_flow_fs_inductive_for_internal_use</t>
  </si>
  <si>
    <t>flow_switch_inductive_alarm</t>
  </si>
  <si>
    <t>flow_switch_inductive_status</t>
  </si>
  <si>
    <t>1: Entrada flow enabled y con circuito abierto (coil 0x301=1 &amp; inp 0x102=1)</t>
  </si>
  <si>
    <t>Status of control input (1:Closed; 0: Open)</t>
  </si>
  <si>
    <t>enable_ph_tank_detection</t>
  </si>
  <si>
    <t>Alarms- Temp (*only read)</t>
  </si>
  <si>
    <t>Alarms reset- Temperature</t>
  </si>
  <si>
    <t>Alarms-salt (*only read)</t>
  </si>
  <si>
    <t>Alarms reset- salt</t>
  </si>
  <si>
    <t>tiempo (minutos) de electrolisis hoy (desde las 0:00)</t>
  </si>
  <si>
    <t>0-65535 (hours)</t>
  </si>
  <si>
    <t>ph_time_pump_running_total_1</t>
  </si>
  <si>
    <t>ph_time_pump_running_partial_1</t>
  </si>
  <si>
    <t>reset_system_days_partial</t>
  </si>
  <si>
    <t>common_config</t>
  </si>
  <si>
    <t>input 1</t>
  </si>
  <si>
    <t>input 2</t>
  </si>
  <si>
    <t>input 3</t>
  </si>
  <si>
    <t>input 4</t>
  </si>
  <si>
    <t>0: Entrada en abierto; 1: entrada en corto</t>
  </si>
  <si>
    <t>INPUTS</t>
  </si>
  <si>
    <t>output_word</t>
  </si>
  <si>
    <t>estado</t>
  </si>
  <si>
    <t>.bit 8-15</t>
  </si>
  <si>
    <t>0: Salida OFF; 1: Salida ON</t>
  </si>
  <si>
    <t>output_enclavamiento</t>
  </si>
  <si>
    <t>'0' / '1' / 'A' / 'N'</t>
  </si>
  <si>
    <t>OUTPUT 1</t>
  </si>
  <si>
    <t>OUTPUT 2</t>
  </si>
  <si>
    <t>Time programs</t>
  </si>
  <si>
    <t>TIME</t>
  </si>
  <si>
    <t>digital_inputs_word</t>
  </si>
  <si>
    <t>prog MIERCOLES (1-9)</t>
  </si>
  <si>
    <t>prog MARTES (1-9)</t>
  </si>
  <si>
    <t>prog LUNES (1-9)</t>
  </si>
  <si>
    <t>prog JUEVES (1-9)</t>
  </si>
  <si>
    <t>prog VIERNES (1-9)</t>
  </si>
  <si>
    <t>prog SABADO (1-9)</t>
  </si>
  <si>
    <t>prog DOMINGO (1-9)</t>
  </si>
  <si>
    <t>output_1_1</t>
  </si>
  <si>
    <t>output_1_2</t>
  </si>
  <si>
    <t>1:auto (relé depende de programa): 0: ver bit 14</t>
  </si>
  <si>
    <t>(si bit 15=0)1:relé ON; 0:relé OFF</t>
  </si>
  <si>
    <t>enclavamiento_input</t>
  </si>
  <si>
    <t>enclavamiento_time_hysteresis</t>
  </si>
  <si>
    <t>enclavamiento_modo</t>
  </si>
  <si>
    <t>.bit 0-7</t>
  </si>
  <si>
    <t>modo_si_0</t>
  </si>
  <si>
    <t>modo_si_1</t>
  </si>
  <si>
    <t>Entrada enclavada al relé</t>
  </si>
  <si>
    <t>Tiempo de histéresis al enclavamiento</t>
  </si>
  <si>
    <t>Programa a aplicar el miércoles</t>
  </si>
  <si>
    <t>Programa a aplicar el martes</t>
  </si>
  <si>
    <t>Programa a aplicar el lunes</t>
  </si>
  <si>
    <t>Programa a aplicar el jueves</t>
  </si>
  <si>
    <t>Programa a aplicar el viernes</t>
  </si>
  <si>
    <t>Programa a aplicar el sábado</t>
  </si>
  <si>
    <t>Programa a aplicar el domingo</t>
  </si>
  <si>
    <t>'N'</t>
  </si>
  <si>
    <t>modo relé si enclavamiento = 0: '0'/'1'/'A'/'N'</t>
  </si>
  <si>
    <t>modo relé si enclavamiento = 1: '0'/'1'/'A'/'N'</t>
  </si>
  <si>
    <t>Tiempo de histéresis al enclavamiento: 0….999s</t>
  </si>
  <si>
    <t>period_0_start</t>
  </si>
  <si>
    <t>HHMM</t>
  </si>
  <si>
    <t>period_0_stop</t>
  </si>
  <si>
    <t>period_1_start</t>
  </si>
  <si>
    <t>period_1_stop</t>
  </si>
  <si>
    <t>period_2_start</t>
  </si>
  <si>
    <t>period_2_stop</t>
  </si>
  <si>
    <t>period_3_start</t>
  </si>
  <si>
    <t>period_3_stop</t>
  </si>
  <si>
    <t>crepuscular_conf_bits</t>
  </si>
  <si>
    <t>Crepuscular Mode</t>
  </si>
  <si>
    <t>IsCrepuscularProgram</t>
  </si>
  <si>
    <t>1:Crepuscular; 0: Non-crepuscular</t>
  </si>
  <si>
    <t>No Volátil</t>
  </si>
  <si>
    <t>TIME PROGRAM 1</t>
  </si>
  <si>
    <t>crepuscular_sunRiseOffset</t>
  </si>
  <si>
    <t>crepuscular_sunSetOffset</t>
  </si>
  <si>
    <t>flow_alarm_global</t>
  </si>
  <si>
    <t>flow_internal_electrolysis_alarm</t>
  </si>
  <si>
    <t>UV</t>
  </si>
  <si>
    <t>Alarms reset- UV</t>
  </si>
  <si>
    <t>ballast_alarm_rst</t>
  </si>
  <si>
    <t>ballast_alarm</t>
  </si>
  <si>
    <t>total ignitions</t>
  </si>
  <si>
    <t>lamp_status_bits</t>
  </si>
  <si>
    <t>reset_hours_ignitions</t>
  </si>
  <si>
    <t>IsLampOn</t>
  </si>
  <si>
    <t>1:lámpara ON; 0: lámpara OFF</t>
  </si>
  <si>
    <t>lamp_partial_ignitions</t>
  </si>
  <si>
    <t>total hours_lsb</t>
  </si>
  <si>
    <t>total hours_msb</t>
  </si>
  <si>
    <t>16 bit de menor peso de horas de encendido</t>
  </si>
  <si>
    <t>16 bit de mayor peso de horas de encendido</t>
  </si>
  <si>
    <t>lamp_partial_hours_lsb</t>
  </si>
  <si>
    <t>lamp_partial_hours_msb</t>
  </si>
  <si>
    <t>16 bit de menor peso de horas de encendido de esta lámpara</t>
  </si>
  <si>
    <t>16 bit de mayor peso de horas de encendido de esta lámpara</t>
  </si>
  <si>
    <t>nº de encendidos de la lámpara</t>
  </si>
  <si>
    <t>nº encendidos equipo</t>
  </si>
  <si>
    <t>lamp_resets</t>
  </si>
  <si>
    <t>nº de resets ejecutados a la lámpara</t>
  </si>
  <si>
    <t>lamp_config_bits</t>
  </si>
  <si>
    <t>electrolysis</t>
  </si>
  <si>
    <t>cl-orp</t>
  </si>
  <si>
    <t>cl-ppm</t>
  </si>
  <si>
    <t>temperature</t>
  </si>
  <si>
    <t>salt</t>
  </si>
  <si>
    <t>uv</t>
  </si>
  <si>
    <t>pressure</t>
  </si>
  <si>
    <t>Status of cover input (1: Closed Circuit; 0: Open circuit)</t>
  </si>
  <si>
    <t>Cover Input status</t>
  </si>
  <si>
    <t>enclavamiento_setpoint</t>
  </si>
  <si>
    <t>enclavamiento_value_hysteresis</t>
  </si>
  <si>
    <t>setpoint (caso enclavamiento a entrada analógica)</t>
  </si>
  <si>
    <t>histéresis valor (caso enclavamiento a entrada analógica)</t>
  </si>
  <si>
    <t>HW Version</t>
  </si>
  <si>
    <t>FW_Version</t>
  </si>
  <si>
    <t>NS</t>
  </si>
  <si>
    <t>output_2_1</t>
  </si>
  <si>
    <t>output_2_2</t>
  </si>
  <si>
    <t>TIME PROGRAM 2</t>
  </si>
  <si>
    <t>b0</t>
  </si>
  <si>
    <t>c0</t>
  </si>
  <si>
    <t>0-900 (seconds)</t>
  </si>
  <si>
    <t>tank_input</t>
  </si>
  <si>
    <t>limite de horas de uso de la bomba</t>
  </si>
  <si>
    <t>electrolysis control CL input status</t>
  </si>
  <si>
    <t>elect control CL internal stop</t>
  </si>
  <si>
    <t>elect control CL external stop</t>
  </si>
  <si>
    <t>1: Electrolysis halted by CL control internal</t>
  </si>
  <si>
    <t>1: Electrolysis halted by CL control external</t>
  </si>
  <si>
    <t>limit_hours_pump_ph_output_1</t>
  </si>
  <si>
    <t>minutes_dosis_ph_output_1</t>
  </si>
  <si>
    <t>minutos de la dosis</t>
  </si>
  <si>
    <t>minutes_dosis_output_cl_1</t>
  </si>
  <si>
    <t>cl_time_pump_running_total_1</t>
  </si>
  <si>
    <t>cl_time_pump_running_partial_1</t>
  </si>
  <si>
    <t>check_pump_ph_1</t>
  </si>
  <si>
    <t>check_pump_cl_1</t>
  </si>
  <si>
    <t>Transcurrido tiempo para mantenimiento bomba cl 1</t>
  </si>
  <si>
    <t>Transcurrido tiempo para mantenimiento bomba ph 1</t>
  </si>
  <si>
    <t>check_pump_ph_1_rst</t>
  </si>
  <si>
    <t>check_pump_cl_1_rst</t>
  </si>
  <si>
    <t>limit_hours_pump_output_cl_1</t>
  </si>
  <si>
    <t>reset_partial_hours_pump</t>
  </si>
  <si>
    <t>reset_dosis</t>
  </si>
  <si>
    <t>reinicia la dosis</t>
  </si>
  <si>
    <t>pone a 0 el contador parcial de horas de la bomba</t>
  </si>
  <si>
    <t>1: Estado entrada de garrafa (independiente habilitación)</t>
  </si>
  <si>
    <t>hysteresis_ph_output_1_on2off</t>
  </si>
  <si>
    <t>hysteresis_ph_output_1_off2on</t>
  </si>
  <si>
    <t>hysteresis_cl_output_1_on2off</t>
  </si>
  <si>
    <t>hysteresis_cl_output_1_off2on</t>
  </si>
  <si>
    <t>d0</t>
  </si>
  <si>
    <t>e0</t>
  </si>
  <si>
    <t>f0</t>
  </si>
  <si>
    <t>1:dosis , 0: no dosis</t>
  </si>
  <si>
    <t>reinicia la dosis (o la inicia, si no estaba on)</t>
  </si>
  <si>
    <t>dosis</t>
  </si>
  <si>
    <t>off</t>
  </si>
  <si>
    <t>1: reset</t>
  </si>
  <si>
    <t>total_reset_elect</t>
  </si>
  <si>
    <t>hours_running_elect_total_lsb</t>
  </si>
  <si>
    <t>hours_running_elect_total_msb</t>
  </si>
  <si>
    <t>hours_running_elect_partial_lsb</t>
  </si>
  <si>
    <t>hours_running_elect_partial_msb</t>
  </si>
  <si>
    <t>reset_partial_hours</t>
  </si>
  <si>
    <t>ph_measure_std_calibration</t>
  </si>
  <si>
    <t>orp_measure_std_calibration</t>
  </si>
  <si>
    <t>cal_ppm_std_ok</t>
  </si>
  <si>
    <t>cal_470mv_ok</t>
  </si>
  <si>
    <t>CAL PH7_OK</t>
  </si>
  <si>
    <t>CAL PH4_OK</t>
  </si>
  <si>
    <t>CAL FAST_OK</t>
  </si>
  <si>
    <t>calibration_ok</t>
  </si>
  <si>
    <t>temperature_with_std_cal</t>
  </si>
  <si>
    <t>salt_with_std_cal</t>
  </si>
  <si>
    <t>salt_status</t>
  </si>
  <si>
    <t>Calibration_Mode</t>
  </si>
  <si>
    <t>reset_cal</t>
  </si>
  <si>
    <t>sistema</t>
  </si>
  <si>
    <t>0- idle, 1 (digital 1)…. 4(digital4), 5 temperatura, 6 g/l</t>
  </si>
  <si>
    <t>update</t>
  </si>
  <si>
    <t>identify</t>
  </si>
  <si>
    <t>1A</t>
  </si>
  <si>
    <t>low_mA</t>
  </si>
  <si>
    <t>high_mA</t>
  </si>
  <si>
    <t>bajos mA sonda PPM</t>
  </si>
  <si>
    <t>altos mA sonda PPM</t>
  </si>
  <si>
    <t>low_conductivity</t>
  </si>
  <si>
    <t>high_conductivity</t>
  </si>
  <si>
    <t>Treatment_halted</t>
  </si>
  <si>
    <t>pbas</t>
  </si>
  <si>
    <t>PBAS</t>
  </si>
  <si>
    <t>1e0</t>
  </si>
  <si>
    <t>SLOT0_HW_version</t>
  </si>
  <si>
    <t>SLOT0_SW_version</t>
  </si>
  <si>
    <t>SLOT0_serial_hi</t>
  </si>
  <si>
    <t>SLOT0_serial_med</t>
  </si>
  <si>
    <t>SLOT0_serial_lo</t>
  </si>
  <si>
    <t>SLOT0_Type</t>
  </si>
  <si>
    <t>SLOT0_Cal0</t>
  </si>
  <si>
    <t>SLOT0_Cal500</t>
  </si>
  <si>
    <t>SLOT1_HW_version</t>
  </si>
  <si>
    <t>SLOT2_SW_version</t>
  </si>
  <si>
    <t>SLOT1_SW_version</t>
  </si>
  <si>
    <t>SLOT1_serial_hi</t>
  </si>
  <si>
    <t>SLOT1_serial_med</t>
  </si>
  <si>
    <t>SLOT1_serial_lo</t>
  </si>
  <si>
    <t>SLOT1_Type</t>
  </si>
  <si>
    <t>SLOT1_Cal0</t>
  </si>
  <si>
    <t>SLOT1_Cal500</t>
  </si>
  <si>
    <t>SLOT2_HW_version</t>
  </si>
  <si>
    <t>SLOT2_serial_hi</t>
  </si>
  <si>
    <t>SLOT2_serial_med</t>
  </si>
  <si>
    <t>SLOT2_serial_lo</t>
  </si>
  <si>
    <t>SLOT2_Type</t>
  </si>
  <si>
    <t>SLOT2_Cal0</t>
  </si>
  <si>
    <t>SLOT2_Cal500</t>
  </si>
  <si>
    <t>SLOT3_SW_version</t>
  </si>
  <si>
    <t>SLOT3_HW_version</t>
  </si>
  <si>
    <t>SLOT3_serial_hi</t>
  </si>
  <si>
    <t>SLOT3_serial_med</t>
  </si>
  <si>
    <t>SLOT3_serial_lo</t>
  </si>
  <si>
    <t>SLOT3_Type</t>
  </si>
  <si>
    <t>SLOT3_Cal0</t>
  </si>
  <si>
    <t>SLOT3_Cal500</t>
  </si>
  <si>
    <t>Volátil</t>
  </si>
  <si>
    <t>SLOT0_ADC</t>
  </si>
  <si>
    <t>SLOT1_ADC</t>
  </si>
  <si>
    <t>SLOT2_ADC</t>
  </si>
  <si>
    <t>SLOT3_ADC</t>
  </si>
  <si>
    <t>internet</t>
  </si>
  <si>
    <t>INTERNET</t>
  </si>
  <si>
    <t>IPv4 Address_hi</t>
  </si>
  <si>
    <t>IPv4 Address_lo</t>
  </si>
  <si>
    <t>MAC_Address_hi</t>
  </si>
  <si>
    <t>MAC_Address_med</t>
  </si>
  <si>
    <t>MAC_Address_lo</t>
  </si>
  <si>
    <t>ph_dosis_seconds_run_output_1</t>
  </si>
  <si>
    <t>cl_dosis_seconds_run_output_1</t>
  </si>
  <si>
    <t>g_per_day_limit_enabled</t>
  </si>
  <si>
    <t>1: enable</t>
  </si>
  <si>
    <t>reset_pumpstop</t>
  </si>
  <si>
    <t>0: Direct; 1: Reverse</t>
  </si>
  <si>
    <t>low_conductivity_rst</t>
  </si>
  <si>
    <t>high_conductivity_rst</t>
  </si>
  <si>
    <t>0x40A</t>
  </si>
  <si>
    <t>test</t>
  </si>
  <si>
    <t>low</t>
  </si>
  <si>
    <t>high</t>
  </si>
  <si>
    <t>en_cl_output</t>
  </si>
  <si>
    <t>reset pumpstop</t>
  </si>
  <si>
    <t>Ver tabla  1</t>
  </si>
  <si>
    <t>Tabla 1</t>
  </si>
  <si>
    <t>sunset</t>
  </si>
  <si>
    <t>sunrise</t>
  </si>
  <si>
    <t>HHMM (hora/minuto) de salida sol</t>
  </si>
  <si>
    <t>HHMM (hora/minuto) de puesta sol</t>
  </si>
  <si>
    <t>0xffff</t>
  </si>
  <si>
    <t>[hora]</t>
  </si>
  <si>
    <t>0xfffe</t>
  </si>
  <si>
    <t>fh_1_last_connection</t>
  </si>
  <si>
    <t>fh_2_last_connection</t>
  </si>
  <si>
    <t>fh_3_last_connection</t>
  </si>
  <si>
    <t>default</t>
  </si>
  <si>
    <t>ID_Technologies_implemented</t>
  </si>
  <si>
    <t>Versión HW de la placa</t>
  </si>
  <si>
    <t>Versión SW de la placa</t>
  </si>
  <si>
    <t>Ver tabla</t>
  </si>
  <si>
    <t>undefined</t>
  </si>
  <si>
    <t>Qué técnicas están habilitadas?</t>
  </si>
  <si>
    <t>ID_Technologies_enabled</t>
  </si>
  <si>
    <t>¿Habilitada la electrolisis?</t>
  </si>
  <si>
    <t>¿Habilitado el pH?</t>
  </si>
  <si>
    <t>¿Habilitado el ORP?</t>
  </si>
  <si>
    <t>¿Habilitado el PPM?</t>
  </si>
  <si>
    <t>¿Habilitada la temperatura?</t>
  </si>
  <si>
    <t>¿Habilitada la lectura de sal?</t>
  </si>
  <si>
    <t>¿Habilitada el UV?</t>
  </si>
  <si>
    <t>¿Habilitada la lectura de caudal?</t>
  </si>
  <si>
    <t>¿Habilitada la lectura de presión?</t>
  </si>
  <si>
    <t>secondary_modbus_slave</t>
  </si>
  <si>
    <t>¿Habilitado el esclavo modbus secundario?</t>
  </si>
  <si>
    <t>¿Habilitado el ethernet?</t>
  </si>
  <si>
    <t>1: Modo calibración (tratamiento del agua OFF)</t>
  </si>
  <si>
    <t>reset del contador parcial de tiempo ON del sistema</t>
  </si>
  <si>
    <t>Editable</t>
  </si>
  <si>
    <t>Tiempo histéresis apagar salida</t>
  </si>
  <si>
    <t xml:space="preserve">Tiempo histéresis encender bomba </t>
  </si>
  <si>
    <t>Duración de la dosis (minutos)</t>
  </si>
  <si>
    <t>reset de calibracion</t>
  </si>
  <si>
    <t>reset calibracion</t>
  </si>
  <si>
    <t>OUTPUT 3</t>
  </si>
  <si>
    <t>OUTPUT 4</t>
  </si>
  <si>
    <t>output_3_1</t>
  </si>
  <si>
    <t>output_3_2</t>
  </si>
  <si>
    <t>output_4_2</t>
  </si>
  <si>
    <t>output_4_1</t>
  </si>
  <si>
    <t>Igual Timeprogram 3….9</t>
  </si>
  <si>
    <t>DOM17VIS_HW_version</t>
  </si>
  <si>
    <t>DOM17VIS_SW_version</t>
  </si>
  <si>
    <t>DOM17VIS_serial_hi</t>
  </si>
  <si>
    <t>DOM17VIS_serial_med</t>
  </si>
  <si>
    <t>DOM17VIS_serial_lo</t>
  </si>
  <si>
    <t>DOM17POT_HW_version</t>
  </si>
  <si>
    <t>DOM17POT_SW_version</t>
  </si>
  <si>
    <t>DOM17POT_serial_hi</t>
  </si>
  <si>
    <t>DOM17POT_serial_med</t>
  </si>
  <si>
    <t>DOM17POT_serial_lo</t>
  </si>
  <si>
    <t>Modos del crepuscular definidos en la web</t>
  </si>
  <si>
    <t>MAC del equipo</t>
  </si>
  <si>
    <t>Dirección IP del equipo</t>
  </si>
  <si>
    <t>flow_internal_electrolysis_alarm_rst</t>
  </si>
  <si>
    <t>flow_switch_inductive_alarm_rst</t>
  </si>
  <si>
    <t>Reset Alarma flow</t>
  </si>
  <si>
    <t>low_mA_rst</t>
  </si>
  <si>
    <t>high_mA_rst</t>
  </si>
  <si>
    <t>1: Burbuja de aire en sensor interno (esté el sensor habilitado o no)</t>
  </si>
  <si>
    <t>1: flow switch/inductivo en abierto (no flujo) (esté el sensor habilitado o no)</t>
  </si>
  <si>
    <t>Horas de electrolisis totales (LSB)</t>
  </si>
  <si>
    <t>Horas de electrolisis parciales (LSB)</t>
  </si>
  <si>
    <t>Horas de electrolisis totales (MSB)</t>
  </si>
  <si>
    <t>Horas de electrolisis parciales (MSB)</t>
  </si>
  <si>
    <t>Número de reset de Horas parciales de electrolisis</t>
  </si>
  <si>
    <t>0 - 120 (minutos)</t>
  </si>
  <si>
    <t>pump_output</t>
  </si>
  <si>
    <t>1: Podríamos hacer un calibrado (tenemos el cuenta el valor del holding 0x22)</t>
  </si>
  <si>
    <t>1: Podríamos calibrar el ORP</t>
  </si>
  <si>
    <t>insufficient_V_to_measure_salt</t>
  </si>
  <si>
    <t>internet_status</t>
  </si>
  <si>
    <t>No connection Internet</t>
  </si>
  <si>
    <t>Internet OK</t>
  </si>
  <si>
    <t>Internet connection OK, but no communication attempted</t>
  </si>
  <si>
    <t>No server response</t>
  </si>
  <si>
    <t>1: Entrada flow enabled y con circuito abierto (coil 0x301=1 &amp; input 0x302=1)</t>
  </si>
  <si>
    <t>1: Flow burbuja enabled y con burbuja de aire (coil 0x300=1 &amp; input 0x300=1)</t>
  </si>
  <si>
    <t>x</t>
  </si>
  <si>
    <t>ASTRAL</t>
  </si>
  <si>
    <t>(sale automáticamente de este modo al terminar el calibrado o al pasar un tiempo)</t>
  </si>
  <si>
    <t>(antes era low salt)</t>
  </si>
  <si>
    <t>(antes era high salt)</t>
  </si>
  <si>
    <t xml:space="preserve">1: Hay alguna alarma </t>
  </si>
  <si>
    <t>1: Tratamiento parado (i.e. modo calibración)</t>
  </si>
  <si>
    <t>Tenemos alarma de flow si:</t>
  </si>
  <si>
    <t>a) Hay alarma de burbuja (0x241)</t>
  </si>
  <si>
    <t>b) Hay alarma de paleta/inductivo (0x242)</t>
  </si>
  <si>
    <t>Tenemos 3 "fuentes" de alarma de flujo, si una de ellas nos da alarma,</t>
  </si>
  <si>
    <t>el bit 0x240 lo pondremos a 1.</t>
  </si>
  <si>
    <t>Applying setpoint cover</t>
  </si>
  <si>
    <t>1: setpoint cover is being applied:(Cover enabled and covering the pool)</t>
  </si>
  <si>
    <t>reset_config_electrolisis</t>
  </si>
  <si>
    <t>1: cal fast. En "calibration_value", el valor deseado de pH (i.e. 740=7,40)</t>
  </si>
  <si>
    <t>Rearma pumpstop</t>
  </si>
  <si>
    <t>1: Podemos calibrar el 7(i.e., la medida es estable y próxima a 7)</t>
  </si>
  <si>
    <t>1: Podemos calibrar el 4 (i.e., la medida es estable y próxima a 4)</t>
  </si>
  <si>
    <t>1: Podemoshacer un calibrado rápido (tenemos el cuenta el valor del holding 0x22)</t>
  </si>
  <si>
    <t>0x130</t>
  </si>
  <si>
    <t>Internet Status</t>
  </si>
  <si>
    <t>ph_input_status</t>
  </si>
  <si>
    <t>Wachdog_config</t>
  </si>
  <si>
    <t>Deshabilitado</t>
  </si>
  <si>
    <t>Alarma</t>
  </si>
  <si>
    <t>Comportamiento</t>
  </si>
  <si>
    <t>Reinicio equipo</t>
  </si>
  <si>
    <t>SLOT1_status</t>
  </si>
  <si>
    <t>slot_placed</t>
  </si>
  <si>
    <t>slot_communication_ok</t>
  </si>
  <si>
    <t>slot situado en bahía</t>
  </si>
  <si>
    <t>comunicación correcta con slot</t>
  </si>
  <si>
    <t>SLOT0_status</t>
  </si>
  <si>
    <t>SLOT2_status</t>
  </si>
  <si>
    <t>SLOT3_status</t>
  </si>
  <si>
    <t>lectura adc</t>
  </si>
  <si>
    <t>en_alarm_low</t>
  </si>
  <si>
    <t>en_alarm_high</t>
  </si>
  <si>
    <t>1: alarma de low habilitada</t>
  </si>
  <si>
    <t>1: alarma de high habilitada</t>
  </si>
  <si>
    <t>Internet communication read write failure</t>
  </si>
  <si>
    <t>Internet communication read failure</t>
  </si>
  <si>
    <t>Internet communication write failure</t>
  </si>
  <si>
    <t>Internet communication time write failure</t>
  </si>
  <si>
    <t>Internet communication time read failure</t>
  </si>
  <si>
    <t>Internet communication total failure</t>
  </si>
  <si>
    <t>blown_fuse</t>
  </si>
  <si>
    <t>¿es capaz de hacer electrolisis?</t>
  </si>
  <si>
    <t>¿Lleva slot de pH?</t>
  </si>
  <si>
    <t>¿Lleva slot de ORP?</t>
  </si>
  <si>
    <t>¿Lleva slot de PPM?</t>
  </si>
  <si>
    <t>¿Es capaz de medir temperatura?</t>
  </si>
  <si>
    <t>¿Es capaz de medir sal?</t>
  </si>
  <si>
    <t>¿Se le puede conectar un UV?</t>
  </si>
  <si>
    <t>¿Es capaz de medir caudal (m3/h)?</t>
  </si>
  <si>
    <t>¿Es capaz de medir presión?</t>
  </si>
  <si>
    <t>Además de este, ¿la placa tiene otro modbus esclavo?</t>
  </si>
  <si>
    <t>¿Tiene Ethernet?</t>
  </si>
  <si>
    <t>Time in seconds (0: disabled, min: 60s)</t>
  </si>
  <si>
    <t>Umbral de pH low. Low si ph &lt; este valor</t>
  </si>
  <si>
    <t>Umbral de pH high. High si ph &gt; este valor</t>
  </si>
  <si>
    <t>Umbral de mV high. High si mV &gt; este valor</t>
  </si>
  <si>
    <t>Umbral de mV low. Low si mV &lt; este valor</t>
  </si>
  <si>
    <t>Umbral de ppm low. Low si ppm &lt; este valor</t>
  </si>
  <si>
    <t>Umbral de ppm high. High si ppm &gt; este valor</t>
  </si>
  <si>
    <t>pumpstop_ctrl_enable</t>
  </si>
  <si>
    <t>1: pumpstop habilitado</t>
  </si>
  <si>
    <t>DOM17VIS_BTL_SW_version</t>
  </si>
  <si>
    <t>DOM17VIS_Info_Image_version</t>
  </si>
  <si>
    <t>DOM17POT_BTL_SW_version</t>
  </si>
  <si>
    <t>setpoint_orp_output_1</t>
  </si>
  <si>
    <t>setpoint_ppm_output_1</t>
  </si>
  <si>
    <t>PPM (PPM:150 = 1,50 ppm)</t>
  </si>
  <si>
    <t>ORP (ORP:700 = 700mV)</t>
  </si>
  <si>
    <t>Input (0x04)</t>
  </si>
  <si>
    <t>Holding (0x03)</t>
  </si>
  <si>
    <t>0x290</t>
  </si>
  <si>
    <t>0x2A0</t>
  </si>
  <si>
    <t>0x291</t>
  </si>
  <si>
    <t>0x292</t>
  </si>
  <si>
    <t>0x293</t>
  </si>
  <si>
    <t>0x294</t>
  </si>
  <si>
    <t>0x295</t>
  </si>
  <si>
    <t>0x296</t>
  </si>
  <si>
    <t>0x297</t>
  </si>
  <si>
    <t>0x298</t>
  </si>
  <si>
    <t>0x299</t>
  </si>
  <si>
    <t>0x29A</t>
  </si>
  <si>
    <t>0x29B</t>
  </si>
  <si>
    <t>0x29C</t>
  </si>
  <si>
    <t>0x29D</t>
  </si>
  <si>
    <t>0x29E</t>
  </si>
  <si>
    <t>0x29F</t>
  </si>
  <si>
    <t>0x2A1</t>
  </si>
  <si>
    <t>0x2A2</t>
  </si>
  <si>
    <t>0x2A3</t>
  </si>
  <si>
    <t>0x2A4</t>
  </si>
  <si>
    <t>0x2A5</t>
  </si>
  <si>
    <t>0x2A6</t>
  </si>
  <si>
    <t>0x2A7</t>
  </si>
  <si>
    <t>0x2A8</t>
  </si>
  <si>
    <t>0x2A9</t>
  </si>
  <si>
    <t>0x2AA</t>
  </si>
  <si>
    <t>0x2AB</t>
  </si>
  <si>
    <t>0x2AC</t>
  </si>
  <si>
    <t>0x2AD</t>
  </si>
  <si>
    <t>0x2AE</t>
  </si>
  <si>
    <t>0x2AF</t>
  </si>
  <si>
    <t>MODEL_Serie_hi</t>
  </si>
  <si>
    <t>MODEL_Serie_mi</t>
  </si>
  <si>
    <t>MODEL_Serie_lo</t>
  </si>
  <si>
    <t>ph_dosage_time_output_1</t>
  </si>
  <si>
    <t>1: calibrado OK, 2:E2, 3: E3, 4 calibrado no disponible (e.g. cal 470mV en PPM's), 5: Equipo inicializando 16: OK al primer paso de la calibración a 2 puntos</t>
  </si>
  <si>
    <t>error_calibration</t>
  </si>
  <si>
    <t>calibración interna del error fuera de límites</t>
  </si>
  <si>
    <t>used_to_calculate</t>
  </si>
  <si>
    <t>1: slot usado para calcular la magnitud (ph, orp o ppm). Útil si hay varios del mismo tipo</t>
  </si>
  <si>
    <t>No_battery_RTCC</t>
  </si>
  <si>
    <t>reset_historical_data</t>
  </si>
  <si>
    <t>reset_user_config</t>
  </si>
  <si>
    <t>reset_pool_config</t>
  </si>
  <si>
    <t>Sólo 0 =&gt; 1</t>
  </si>
  <si>
    <t>g_production_this_hour</t>
  </si>
  <si>
    <t>Producción g cloro desde el inicio de esta hora. Si son las 7:34, desde las 7:00</t>
  </si>
  <si>
    <t>config_reset</t>
  </si>
  <si>
    <t>1: reset configuración temperatura</t>
  </si>
  <si>
    <t>TimeProgram_reset</t>
  </si>
  <si>
    <t>1:Reset del programa horario</t>
  </si>
  <si>
    <t>electrolysis_low_salt</t>
  </si>
  <si>
    <t>¿es capaz de hacer electrolisis low salt?</t>
  </si>
  <si>
    <t>¿Electrolisis low salt?Sólo válido si 0x0D0 = 1</t>
  </si>
  <si>
    <t>manual_polarity_mode</t>
  </si>
  <si>
    <t>manual_polarity_direct_reverse</t>
  </si>
  <si>
    <t>0: Auto mode; 1: Manual mode</t>
  </si>
  <si>
    <t>0x40B</t>
  </si>
  <si>
    <t>0x40C</t>
  </si>
  <si>
    <t>auto_man</t>
  </si>
  <si>
    <t>dir_rev</t>
  </si>
  <si>
    <t>directa fijo</t>
  </si>
  <si>
    <t>inversa fijo</t>
  </si>
  <si>
    <t>non_reliable_measure_ppm</t>
  </si>
  <si>
    <t>non_reliable_measure_orp</t>
  </si>
  <si>
    <t>0x2016</t>
  </si>
  <si>
    <t>g/h cloro producción instantáneo (sin decimales: 17 =&gt; 17 g/h)</t>
  </si>
  <si>
    <t>initializing_orp</t>
  </si>
  <si>
    <t>1: orp inicializando, medida inestable</t>
  </si>
  <si>
    <t>initializing_ph</t>
  </si>
  <si>
    <t>tft</t>
  </si>
  <si>
    <t>tft_config</t>
  </si>
  <si>
    <t>brightness</t>
  </si>
  <si>
    <t>language</t>
  </si>
  <si>
    <t>capacitive</t>
  </si>
  <si>
    <t>sound</t>
  </si>
  <si>
    <t>reset_log</t>
  </si>
  <si>
    <t>reset_conf</t>
  </si>
  <si>
    <t>1:botones ON</t>
  </si>
  <si>
    <t>1: sonido ON</t>
  </si>
  <si>
    <t>1: reset log</t>
  </si>
  <si>
    <t>1: reset config</t>
  </si>
  <si>
    <t>brillo pantalla [10-100]</t>
  </si>
  <si>
    <t>idioma (codificación pendiente)</t>
  </si>
  <si>
    <t>TFT</t>
  </si>
  <si>
    <t>English</t>
  </si>
  <si>
    <t>Spanish</t>
  </si>
  <si>
    <t>French</t>
  </si>
  <si>
    <t>German</t>
  </si>
  <si>
    <t>Italian</t>
  </si>
  <si>
    <t>Portuguese</t>
  </si>
  <si>
    <t>Dutch</t>
  </si>
  <si>
    <t>Polish</t>
  </si>
  <si>
    <t>Code</t>
  </si>
  <si>
    <t>Language</t>
  </si>
  <si>
    <t>Example</t>
  </si>
  <si>
    <t>0x221</t>
  </si>
  <si>
    <t>0x222</t>
  </si>
  <si>
    <t>IP</t>
  </si>
  <si>
    <t>192.168.202.60</t>
  </si>
  <si>
    <t>0xC0 A8</t>
  </si>
  <si>
    <t>202.60</t>
  </si>
  <si>
    <t>0xCA A3</t>
  </si>
  <si>
    <t>0xC0 A8 CA A3</t>
  </si>
  <si>
    <t>non_reliable_measure_ph</t>
  </si>
  <si>
    <t>VS pump</t>
  </si>
  <si>
    <t>speed</t>
  </si>
  <si>
    <t>VS PUMP</t>
  </si>
  <si>
    <t>Velocidad</t>
  </si>
  <si>
    <t>INTER NET</t>
  </si>
  <si>
    <t>VS_pump_config</t>
  </si>
  <si>
    <t>enabled</t>
  </si>
  <si>
    <t>speed if manual on</t>
  </si>
  <si>
    <t>speed prog 1</t>
  </si>
  <si>
    <t>Velocidad aplicada al durante el periodo</t>
  </si>
  <si>
    <t>period 1</t>
  </si>
  <si>
    <t>period 2</t>
  </si>
  <si>
    <t>period 3</t>
  </si>
  <si>
    <t>Valve</t>
  </si>
  <si>
    <t>seconds</t>
  </si>
  <si>
    <t>minutes</t>
  </si>
  <si>
    <t>time remaining</t>
  </si>
  <si>
    <t>month</t>
  </si>
  <si>
    <t>Year</t>
  </si>
  <si>
    <t>last Cleaning 2</t>
  </si>
  <si>
    <t>last Cleaning 1</t>
  </si>
  <si>
    <t>hour</t>
  </si>
  <si>
    <t>Day</t>
  </si>
  <si>
    <t>last Cleaning 3</t>
  </si>
  <si>
    <t>next Cleaning 1</t>
  </si>
  <si>
    <t>next Cleaning 2</t>
  </si>
  <si>
    <t>next Cleaning 3</t>
  </si>
  <si>
    <t>VALVE</t>
  </si>
  <si>
    <t>period 0</t>
  </si>
  <si>
    <t>VS_pump_model</t>
  </si>
  <si>
    <t>Impleentado</t>
  </si>
  <si>
    <t>cleaning_speed</t>
  </si>
  <si>
    <t>conf_valve_bits</t>
  </si>
  <si>
    <t>cleaning_duration</t>
  </si>
  <si>
    <t>cleaning_period</t>
  </si>
  <si>
    <t>days</t>
  </si>
  <si>
    <t>cleaning_start</t>
  </si>
  <si>
    <t>backwashing</t>
  </si>
  <si>
    <t>status_valve</t>
  </si>
  <si>
    <t>position_reverse_direct</t>
  </si>
  <si>
    <t>valve_model</t>
  </si>
  <si>
    <t>Tiempo restante</t>
  </si>
  <si>
    <t>Volatil</t>
  </si>
  <si>
    <t>manual_on</t>
  </si>
  <si>
    <t>editable</t>
  </si>
  <si>
    <t>auto_on</t>
  </si>
  <si>
    <t>v</t>
  </si>
  <si>
    <t>stop_backwashing</t>
  </si>
  <si>
    <t>ph_seconds_initialization</t>
  </si>
  <si>
    <t>enable</t>
  </si>
  <si>
    <t>Mask Address_lo</t>
  </si>
  <si>
    <t>Mask Address_hi</t>
  </si>
  <si>
    <t>Gateway Address_hi</t>
  </si>
  <si>
    <t>Gateway Address_lo</t>
  </si>
  <si>
    <t>Primary DNS Address_lo</t>
  </si>
  <si>
    <t>Primary DNS  Address_hi</t>
  </si>
  <si>
    <t>Internet_conf_bits</t>
  </si>
  <si>
    <t>dhcp_enable</t>
  </si>
  <si>
    <t>link</t>
  </si>
  <si>
    <t>1: link is up / 0: link is down</t>
  </si>
  <si>
    <t>1:enable</t>
  </si>
  <si>
    <t>non_measurable flow</t>
  </si>
  <si>
    <t>1: realmente no sabemos si hay flujo o no. (backwashing)</t>
  </si>
  <si>
    <t>externally_disabled_ppm</t>
  </si>
  <si>
    <t>externally_disabled_orp</t>
  </si>
  <si>
    <t>externally_disabled_ph</t>
  </si>
  <si>
    <t>reset_rsp_calibrado</t>
  </si>
  <si>
    <t>non_reliable_measure</t>
  </si>
  <si>
    <t>1: Medida no fiable</t>
  </si>
  <si>
    <t>insufficient_I_to_measure_salt</t>
  </si>
  <si>
    <t>La corriente es demasidado baja como para calcular la sal</t>
  </si>
  <si>
    <t>La tensión de salida es demasiado baja como para calcular la sal</t>
  </si>
  <si>
    <t>biopool</t>
  </si>
  <si>
    <t>ethernet</t>
  </si>
  <si>
    <t>slot_relay</t>
  </si>
  <si>
    <t>¿Se le puede conectar un slot de relés?</t>
  </si>
  <si>
    <t>¿Se puede configurar modo biopool?</t>
  </si>
  <si>
    <t>¿Equipo en modo biopool?</t>
  </si>
  <si>
    <t>Conectado el slot de relés</t>
  </si>
  <si>
    <t>1:reset partial hours adn ignitions</t>
  </si>
  <si>
    <t>Editable*</t>
  </si>
  <si>
    <t>Not Editable</t>
  </si>
  <si>
    <t>With Pass</t>
  </si>
  <si>
    <t>volatile</t>
  </si>
  <si>
    <t>non volatile</t>
  </si>
  <si>
    <t>Implemented</t>
  </si>
  <si>
    <t>not implemented</t>
  </si>
  <si>
    <t>Unimplemented</t>
  </si>
  <si>
    <t>INPUT REGISTERS. ONLY READ</t>
  </si>
  <si>
    <t>READ/WRITE</t>
  </si>
  <si>
    <t>Only 1=&gt;0</t>
  </si>
  <si>
    <t>Factory default</t>
  </si>
  <si>
    <t>volatile?</t>
  </si>
  <si>
    <t>Editable by Modbus?</t>
  </si>
  <si>
    <t xml:space="preserve">HOLDING REGISTERS. </t>
  </si>
  <si>
    <t>Production doesn' reach setpoint because conductity is too high</t>
  </si>
  <si>
    <t>Production doesn' reach setpoint because conductity is too low</t>
  </si>
  <si>
    <t>1: Flow alarm (logical OR of 0x241 and 0x242)</t>
  </si>
  <si>
    <t>Implementado</t>
  </si>
  <si>
    <t>Sólo 1=&gt;0</t>
  </si>
  <si>
    <t>fuse_alarm_rst</t>
  </si>
  <si>
    <t>Implemented in Elite Connect?</t>
  </si>
  <si>
    <t>Implemented in Control Connect?</t>
  </si>
  <si>
    <t xml:space="preserve">* This registers are editable by modbus. But in some cases not all values are allowed. </t>
  </si>
  <si>
    <t>That values will be corrected if necessary</t>
  </si>
  <si>
    <t>not present in v382</t>
  </si>
  <si>
    <t>inputs</t>
  </si>
  <si>
    <t>outputs</t>
  </si>
  <si>
    <t>modbus_master</t>
  </si>
  <si>
    <t>Ethernet</t>
  </si>
  <si>
    <t>SIGFOX</t>
  </si>
  <si>
    <t>0x060</t>
  </si>
  <si>
    <t>0x061</t>
  </si>
  <si>
    <t>0x062</t>
  </si>
  <si>
    <t>0x063</t>
  </si>
  <si>
    <t>0x064</t>
  </si>
  <si>
    <t>0x065</t>
  </si>
  <si>
    <t>0x066</t>
  </si>
  <si>
    <t>0x067</t>
  </si>
  <si>
    <t>0x068</t>
  </si>
  <si>
    <t>0x069</t>
  </si>
  <si>
    <t>0x06A</t>
  </si>
  <si>
    <t>0x06B</t>
  </si>
  <si>
    <t>0x06C</t>
  </si>
  <si>
    <t>0x06D</t>
  </si>
  <si>
    <t>0x06E</t>
  </si>
  <si>
    <t>0x06F</t>
  </si>
  <si>
    <t>electrolisis_low_salt</t>
  </si>
  <si>
    <t>0x0D0</t>
  </si>
  <si>
    <t>0x0D1</t>
  </si>
  <si>
    <t>0x0D2</t>
  </si>
  <si>
    <t>0x0D3</t>
  </si>
  <si>
    <t>0x0D4</t>
  </si>
  <si>
    <t>0x0D5</t>
  </si>
  <si>
    <t>0x0D6</t>
  </si>
  <si>
    <t>0x0D7</t>
  </si>
  <si>
    <t>0x0D8</t>
  </si>
  <si>
    <t>0x0D9</t>
  </si>
  <si>
    <t>0x0DA</t>
  </si>
  <si>
    <t>0x0DB</t>
  </si>
  <si>
    <t>0x0DC</t>
  </si>
  <si>
    <t>0x0DD</t>
  </si>
  <si>
    <t>0x0DE</t>
  </si>
  <si>
    <t>0x0DF</t>
  </si>
  <si>
    <t>Table 1</t>
  </si>
  <si>
    <t>Table 2</t>
  </si>
  <si>
    <t>See Table 2 to see v382 register</t>
  </si>
  <si>
    <t>See Table 4 to see v382 register</t>
  </si>
  <si>
    <t>Table 4</t>
  </si>
  <si>
    <t>Table 3</t>
  </si>
  <si>
    <t>Table 5</t>
  </si>
  <si>
    <t>See Table 1</t>
  </si>
  <si>
    <t>Modbus Address [0x01-0x05]</t>
  </si>
  <si>
    <t>g/hour electrolysisi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</si>
</sst>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x0"/>
  </numFmts>
  <fonts count="2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charset val="1"/>
    </font>
    <font>
      <sz val="11"/>
      <name val="Calibri"/>
      <family val="2"/>
    </font>
    <font>
      <sz val="11"/>
      <color theme="3" tint="0.39997558519241921"/>
      <name val="Calibri"/>
      <family val="2"/>
    </font>
    <font>
      <sz val="10"/>
      <name val="Calibri"/>
      <family val="2"/>
    </font>
    <font>
      <b/>
      <sz val="11"/>
      <color theme="3" tint="0.39997558519241921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</font>
    <font>
      <sz val="48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6"/>
      <name val="Calibri"/>
      <family val="2"/>
    </font>
    <font>
      <sz val="3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 tint="-0.499984740745262"/>
      <name val="Calibri"/>
      <family val="2"/>
    </font>
    <font>
      <b/>
      <sz val="48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</font>
    <font>
      <sz val="11"/>
      <color rgb="FF538DD5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62">
    <border>
      <left/>
      <right/>
      <top/>
      <bottom/>
      <diagonal/>
    </border>
    <border>
      <left style="medium">
        <color indexed="8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723">
    <xf numFmtId="0" fontId="0" fillId="0" borderId="0" xfId="0"/>
    <xf numFmtId="0" fontId="3" fillId="0" borderId="3" xfId="2" applyFont="1" applyBorder="1" applyAlignment="1">
      <alignment horizontal="center"/>
    </xf>
    <xf numFmtId="0" fontId="3" fillId="0" borderId="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3" fillId="0" borderId="0" xfId="2" applyFont="1" applyBorder="1" applyAlignment="1">
      <alignment horizontal="center"/>
    </xf>
    <xf numFmtId="0" fontId="3" fillId="0" borderId="5" xfId="2" applyFont="1" applyBorder="1" applyAlignment="1">
      <alignment horizontal="center"/>
    </xf>
    <xf numFmtId="0" fontId="3" fillId="0" borderId="2" xfId="2" applyFont="1" applyBorder="1" applyAlignment="1">
      <alignment horizontal="center"/>
    </xf>
    <xf numFmtId="0" fontId="3" fillId="0" borderId="4" xfId="2" applyFont="1" applyBorder="1" applyAlignment="1">
      <alignment horizontal="center"/>
    </xf>
    <xf numFmtId="0" fontId="6" fillId="0" borderId="8" xfId="2" applyFont="1" applyBorder="1" applyAlignment="1">
      <alignment horizontal="center"/>
    </xf>
    <xf numFmtId="0" fontId="7" fillId="0" borderId="7" xfId="2" applyFont="1" applyBorder="1" applyAlignment="1">
      <alignment horizontal="center"/>
    </xf>
    <xf numFmtId="0" fontId="3" fillId="0" borderId="0" xfId="2" applyFont="1" applyFill="1" applyBorder="1" applyAlignment="1">
      <alignment vertical="center"/>
    </xf>
    <xf numFmtId="0" fontId="1" fillId="0" borderId="0" xfId="1"/>
    <xf numFmtId="0" fontId="3" fillId="0" borderId="0" xfId="2" applyFont="1"/>
    <xf numFmtId="0" fontId="3" fillId="0" borderId="0" xfId="2" applyFont="1" applyBorder="1"/>
    <xf numFmtId="0" fontId="3" fillId="0" borderId="0" xfId="2" applyFont="1" applyBorder="1" applyAlignment="1">
      <alignment vertical="center"/>
    </xf>
    <xf numFmtId="0" fontId="3" fillId="0" borderId="0" xfId="2" applyFont="1" applyFill="1" applyBorder="1"/>
    <xf numFmtId="0" fontId="3" fillId="0" borderId="0" xfId="2" applyFont="1" applyFill="1"/>
    <xf numFmtId="0" fontId="8" fillId="0" borderId="0" xfId="2" applyFont="1" applyFill="1" applyAlignment="1">
      <alignment horizontal="left"/>
    </xf>
    <xf numFmtId="0" fontId="7" fillId="0" borderId="0" xfId="2" applyFont="1" applyBorder="1" applyAlignment="1">
      <alignment horizontal="center"/>
    </xf>
    <xf numFmtId="0" fontId="6" fillId="0" borderId="0" xfId="2" applyFont="1" applyBorder="1" applyAlignment="1">
      <alignment horizontal="center"/>
    </xf>
    <xf numFmtId="0" fontId="1" fillId="0" borderId="0" xfId="1" applyBorder="1"/>
    <xf numFmtId="0" fontId="0" fillId="0" borderId="0" xfId="0" applyBorder="1"/>
    <xf numFmtId="0" fontId="3" fillId="0" borderId="0" xfId="2" applyFont="1" applyBorder="1" applyAlignment="1">
      <alignment horizontal="right"/>
    </xf>
    <xf numFmtId="0" fontId="3" fillId="0" borderId="13" xfId="2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4" fontId="0" fillId="0" borderId="0" xfId="0" applyNumberFormat="1" applyBorder="1"/>
    <xf numFmtId="0" fontId="11" fillId="0" borderId="0" xfId="0" applyFont="1" applyBorder="1"/>
    <xf numFmtId="0" fontId="4" fillId="0" borderId="0" xfId="2" applyFont="1" applyBorder="1" applyAlignment="1">
      <alignment horizontal="right"/>
    </xf>
    <xf numFmtId="0" fontId="3" fillId="0" borderId="0" xfId="2" applyFont="1" applyBorder="1" applyAlignment="1">
      <alignment horizontal="left"/>
    </xf>
    <xf numFmtId="0" fontId="3" fillId="0" borderId="0" xfId="2" applyFont="1" applyFill="1" applyAlignment="1">
      <alignment horizontal="center"/>
    </xf>
    <xf numFmtId="0" fontId="3" fillId="0" borderId="0" xfId="2" applyFont="1" applyFill="1" applyBorder="1" applyAlignment="1">
      <alignment horizontal="left"/>
    </xf>
    <xf numFmtId="0" fontId="3" fillId="0" borderId="1" xfId="2" applyFont="1" applyFill="1" applyBorder="1" applyAlignment="1">
      <alignment horizontal="center"/>
    </xf>
    <xf numFmtId="0" fontId="3" fillId="0" borderId="1" xfId="2" applyFont="1" applyBorder="1" applyAlignment="1">
      <alignment horizontal="center"/>
    </xf>
    <xf numFmtId="0" fontId="3" fillId="0" borderId="0" xfId="2" applyFont="1" applyFill="1" applyBorder="1" applyAlignment="1">
      <alignment horizontal="center"/>
    </xf>
    <xf numFmtId="0" fontId="3" fillId="0" borderId="0" xfId="2" applyFont="1" applyBorder="1" applyAlignment="1">
      <alignment horizontal="center" vertical="center"/>
    </xf>
    <xf numFmtId="0" fontId="3" fillId="0" borderId="0" xfId="2" applyFont="1" applyFill="1" applyBorder="1" applyAlignment="1">
      <alignment wrapText="1"/>
    </xf>
    <xf numFmtId="0" fontId="3" fillId="0" borderId="17" xfId="2" applyFont="1" applyBorder="1"/>
    <xf numFmtId="0" fontId="3" fillId="0" borderId="18" xfId="2" applyFont="1" applyBorder="1"/>
    <xf numFmtId="0" fontId="3" fillId="0" borderId="13" xfId="2" applyFont="1" applyBorder="1"/>
    <xf numFmtId="164" fontId="0" fillId="0" borderId="13" xfId="0" applyNumberFormat="1" applyBorder="1"/>
    <xf numFmtId="0" fontId="3" fillId="0" borderId="21" xfId="2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3" fillId="0" borderId="20" xfId="2" applyFont="1" applyBorder="1"/>
    <xf numFmtId="0" fontId="11" fillId="0" borderId="14" xfId="0" applyFont="1" applyBorder="1"/>
    <xf numFmtId="0" fontId="11" fillId="0" borderId="23" xfId="0" applyFont="1" applyBorder="1"/>
    <xf numFmtId="0" fontId="4" fillId="0" borderId="24" xfId="2" applyFont="1" applyBorder="1" applyAlignment="1">
      <alignment horizontal="right"/>
    </xf>
    <xf numFmtId="0" fontId="1" fillId="0" borderId="24" xfId="1" applyBorder="1"/>
    <xf numFmtId="0" fontId="0" fillId="0" borderId="25" xfId="0" applyBorder="1" applyAlignment="1">
      <alignment horizontal="center"/>
    </xf>
    <xf numFmtId="0" fontId="3" fillId="0" borderId="24" xfId="2" applyFont="1" applyBorder="1"/>
    <xf numFmtId="164" fontId="0" fillId="0" borderId="27" xfId="0" applyNumberFormat="1" applyBorder="1"/>
    <xf numFmtId="0" fontId="0" fillId="0" borderId="13" xfId="0" applyBorder="1"/>
    <xf numFmtId="0" fontId="0" fillId="0" borderId="21" xfId="0" applyBorder="1" applyAlignment="1">
      <alignment horizontal="center"/>
    </xf>
    <xf numFmtId="0" fontId="0" fillId="0" borderId="24" xfId="0" applyBorder="1"/>
    <xf numFmtId="0" fontId="0" fillId="0" borderId="20" xfId="0" applyBorder="1"/>
    <xf numFmtId="0" fontId="0" fillId="0" borderId="26" xfId="0" applyBorder="1"/>
    <xf numFmtId="0" fontId="0" fillId="0" borderId="27" xfId="0" applyBorder="1"/>
    <xf numFmtId="0" fontId="3" fillId="0" borderId="26" xfId="2" applyFont="1" applyBorder="1" applyAlignment="1">
      <alignment vertical="center"/>
    </xf>
    <xf numFmtId="0" fontId="0" fillId="2" borderId="27" xfId="0" applyFill="1" applyBorder="1"/>
    <xf numFmtId="0" fontId="0" fillId="2" borderId="28" xfId="0" applyFill="1" applyBorder="1" applyAlignment="1">
      <alignment horizontal="center"/>
    </xf>
    <xf numFmtId="0" fontId="3" fillId="2" borderId="27" xfId="2" applyFont="1" applyFill="1" applyBorder="1" applyAlignment="1">
      <alignment vertical="center"/>
    </xf>
    <xf numFmtId="0" fontId="3" fillId="2" borderId="28" xfId="2" applyFont="1" applyFill="1" applyBorder="1" applyAlignment="1">
      <alignment horizontal="center" vertical="center"/>
    </xf>
    <xf numFmtId="164" fontId="0" fillId="2" borderId="27" xfId="0" applyNumberFormat="1" applyFill="1" applyBorder="1"/>
    <xf numFmtId="0" fontId="3" fillId="0" borderId="26" xfId="2" applyFont="1" applyFill="1" applyBorder="1" applyAlignment="1">
      <alignment vertical="center"/>
    </xf>
    <xf numFmtId="0" fontId="3" fillId="2" borderId="20" xfId="2" applyFont="1" applyFill="1" applyBorder="1" applyAlignment="1">
      <alignment vertical="center"/>
    </xf>
    <xf numFmtId="164" fontId="0" fillId="2" borderId="13" xfId="0" applyNumberFormat="1" applyFill="1" applyBorder="1"/>
    <xf numFmtId="0" fontId="3" fillId="2" borderId="13" xfId="2" applyFont="1" applyFill="1" applyBorder="1" applyAlignment="1">
      <alignment vertical="center"/>
    </xf>
    <xf numFmtId="0" fontId="3" fillId="2" borderId="21" xfId="2" applyFont="1" applyFill="1" applyBorder="1" applyAlignment="1">
      <alignment horizontal="center" vertical="center"/>
    </xf>
    <xf numFmtId="0" fontId="3" fillId="2" borderId="24" xfId="2" applyFont="1" applyFill="1" applyBorder="1"/>
    <xf numFmtId="0" fontId="11" fillId="0" borderId="24" xfId="0" applyFont="1" applyBorder="1"/>
    <xf numFmtId="0" fontId="3" fillId="0" borderId="27" xfId="2" applyFont="1" applyBorder="1"/>
    <xf numFmtId="0" fontId="3" fillId="2" borderId="27" xfId="2" applyFont="1" applyFill="1" applyBorder="1"/>
    <xf numFmtId="0" fontId="3" fillId="2" borderId="28" xfId="2" applyFont="1" applyFill="1" applyBorder="1" applyAlignment="1">
      <alignment horizontal="center"/>
    </xf>
    <xf numFmtId="0" fontId="3" fillId="2" borderId="0" xfId="2" applyFont="1" applyFill="1" applyBorder="1"/>
    <xf numFmtId="0" fontId="10" fillId="0" borderId="0" xfId="0" applyFont="1" applyBorder="1" applyAlignment="1">
      <alignment horizontal="center" vertical="center" textRotation="90"/>
    </xf>
    <xf numFmtId="0" fontId="12" fillId="0" borderId="0" xfId="0" applyFont="1" applyBorder="1" applyAlignment="1">
      <alignment horizontal="center" vertical="center"/>
    </xf>
    <xf numFmtId="0" fontId="3" fillId="0" borderId="26" xfId="2" applyFont="1" applyBorder="1"/>
    <xf numFmtId="0" fontId="3" fillId="0" borderId="20" xfId="2" applyFont="1" applyFill="1" applyBorder="1"/>
    <xf numFmtId="0" fontId="3" fillId="0" borderId="24" xfId="2" applyFont="1" applyFill="1" applyBorder="1" applyAlignment="1">
      <alignment vertical="center"/>
    </xf>
    <xf numFmtId="0" fontId="9" fillId="0" borderId="0" xfId="0" applyFont="1" applyBorder="1" applyAlignment="1">
      <alignment horizontal="center" vertical="center" textRotation="90"/>
    </xf>
    <xf numFmtId="0" fontId="3" fillId="0" borderId="24" xfId="2" applyFont="1" applyFill="1" applyBorder="1"/>
    <xf numFmtId="0" fontId="0" fillId="0" borderId="0" xfId="0" applyFill="1" applyBorder="1"/>
    <xf numFmtId="0" fontId="3" fillId="0" borderId="0" xfId="2" applyFont="1" applyBorder="1" applyAlignment="1">
      <alignment horizontal="center" vertical="center" wrapText="1"/>
    </xf>
    <xf numFmtId="0" fontId="3" fillId="2" borderId="26" xfId="2" applyFont="1" applyFill="1" applyBorder="1" applyAlignment="1">
      <alignment vertical="center"/>
    </xf>
    <xf numFmtId="0" fontId="3" fillId="0" borderId="0" xfId="2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Fill="1"/>
    <xf numFmtId="0" fontId="0" fillId="0" borderId="19" xfId="0" applyBorder="1"/>
    <xf numFmtId="0" fontId="3" fillId="0" borderId="19" xfId="2" applyFont="1" applyFill="1" applyBorder="1"/>
    <xf numFmtId="0" fontId="3" fillId="0" borderId="19" xfId="2" applyFont="1" applyFill="1" applyBorder="1" applyAlignment="1">
      <alignment wrapText="1"/>
    </xf>
    <xf numFmtId="0" fontId="7" fillId="0" borderId="19" xfId="2" applyFont="1" applyFill="1" applyBorder="1" applyAlignment="1">
      <alignment horizontal="center"/>
    </xf>
    <xf numFmtId="0" fontId="12" fillId="0" borderId="19" xfId="0" applyFont="1" applyBorder="1"/>
    <xf numFmtId="0" fontId="3" fillId="0" borderId="0" xfId="2" applyFont="1" applyBorder="1" applyAlignment="1">
      <alignment vertical="center" wrapText="1"/>
    </xf>
    <xf numFmtId="0" fontId="3" fillId="0" borderId="0" xfId="2" applyFont="1" applyBorder="1" applyAlignment="1">
      <alignment horizontal="center" wrapText="1"/>
    </xf>
    <xf numFmtId="0" fontId="0" fillId="0" borderId="19" xfId="0" applyFill="1" applyBorder="1" applyAlignment="1">
      <alignment horizontal="center"/>
    </xf>
    <xf numFmtId="0" fontId="0" fillId="0" borderId="19" xfId="0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3" fillId="0" borderId="0" xfId="2" applyFont="1" applyBorder="1" applyAlignment="1">
      <alignment horizontal="left" vertical="center"/>
    </xf>
    <xf numFmtId="0" fontId="3" fillId="0" borderId="13" xfId="2" applyFont="1" applyBorder="1" applyAlignment="1">
      <alignment horizontal="center"/>
    </xf>
    <xf numFmtId="0" fontId="0" fillId="0" borderId="29" xfId="0" applyBorder="1"/>
    <xf numFmtId="0" fontId="0" fillId="0" borderId="23" xfId="0" applyBorder="1"/>
    <xf numFmtId="0" fontId="3" fillId="0" borderId="29" xfId="2" applyFont="1" applyBorder="1"/>
    <xf numFmtId="0" fontId="3" fillId="0" borderId="23" xfId="2" applyFont="1" applyBorder="1"/>
    <xf numFmtId="0" fontId="3" fillId="0" borderId="13" xfId="2" applyFont="1" applyBorder="1" applyAlignment="1">
      <alignment horizontal="center" vertical="center"/>
    </xf>
    <xf numFmtId="0" fontId="3" fillId="0" borderId="20" xfId="2" applyFont="1" applyBorder="1" applyAlignment="1">
      <alignment vertical="center"/>
    </xf>
    <xf numFmtId="0" fontId="3" fillId="0" borderId="13" xfId="2" applyFont="1" applyBorder="1" applyAlignment="1">
      <alignment horizontal="left" vertical="center"/>
    </xf>
    <xf numFmtId="0" fontId="3" fillId="0" borderId="12" xfId="2" applyFont="1" applyBorder="1" applyAlignment="1">
      <alignment horizontal="left" wrapText="1"/>
    </xf>
    <xf numFmtId="0" fontId="3" fillId="2" borderId="27" xfId="2" applyFont="1" applyFill="1" applyBorder="1" applyAlignment="1">
      <alignment horizontal="left" vertical="center"/>
    </xf>
    <xf numFmtId="0" fontId="3" fillId="2" borderId="27" xfId="2" applyFont="1" applyFill="1" applyBorder="1" applyAlignment="1">
      <alignment horizontal="center" vertical="center"/>
    </xf>
    <xf numFmtId="0" fontId="3" fillId="2" borderId="27" xfId="2" applyFont="1" applyFill="1" applyBorder="1" applyAlignment="1">
      <alignment horizontal="center"/>
    </xf>
    <xf numFmtId="0" fontId="3" fillId="2" borderId="13" xfId="2" applyFont="1" applyFill="1" applyBorder="1" applyAlignment="1">
      <alignment horizontal="center" vertical="center"/>
    </xf>
    <xf numFmtId="0" fontId="3" fillId="0" borderId="26" xfId="2" applyFont="1" applyBorder="1" applyAlignment="1">
      <alignment wrapText="1"/>
    </xf>
    <xf numFmtId="0" fontId="3" fillId="2" borderId="26" xfId="2" applyFont="1" applyFill="1" applyBorder="1" applyAlignment="1">
      <alignment wrapText="1"/>
    </xf>
    <xf numFmtId="0" fontId="3" fillId="0" borderId="26" xfId="2" applyFont="1" applyBorder="1" applyAlignment="1">
      <alignment vertical="center" wrapText="1"/>
    </xf>
    <xf numFmtId="0" fontId="3" fillId="2" borderId="24" xfId="2" applyFont="1" applyFill="1" applyBorder="1" applyAlignment="1">
      <alignment horizontal="left" vertical="center"/>
    </xf>
    <xf numFmtId="0" fontId="3" fillId="2" borderId="23" xfId="2" applyFont="1" applyFill="1" applyBorder="1" applyAlignment="1">
      <alignment vertical="center" wrapText="1"/>
    </xf>
    <xf numFmtId="0" fontId="3" fillId="0" borderId="20" xfId="2" applyFont="1" applyBorder="1" applyAlignment="1">
      <alignment wrapText="1"/>
    </xf>
    <xf numFmtId="0" fontId="3" fillId="0" borderId="29" xfId="2" applyFont="1" applyBorder="1" applyAlignment="1"/>
    <xf numFmtId="0" fontId="18" fillId="0" borderId="29" xfId="0" applyFont="1" applyBorder="1"/>
    <xf numFmtId="0" fontId="0" fillId="0" borderId="0" xfId="0" applyFont="1" applyBorder="1"/>
    <xf numFmtId="0" fontId="0" fillId="0" borderId="0" xfId="0" applyFont="1" applyBorder="1" applyAlignment="1">
      <alignment horizontal="left"/>
    </xf>
    <xf numFmtId="164" fontId="0" fillId="0" borderId="13" xfId="0" applyNumberFormat="1" applyFont="1" applyBorder="1"/>
    <xf numFmtId="0" fontId="1" fillId="0" borderId="20" xfId="1" applyFont="1" applyBorder="1"/>
    <xf numFmtId="0" fontId="0" fillId="0" borderId="0" xfId="0" applyFont="1" applyBorder="1" applyAlignment="1">
      <alignment horizontal="center"/>
    </xf>
    <xf numFmtId="0" fontId="0" fillId="0" borderId="29" xfId="0" applyFont="1" applyBorder="1"/>
    <xf numFmtId="0" fontId="0" fillId="0" borderId="24" xfId="0" applyFont="1" applyBorder="1" applyAlignment="1">
      <alignment horizontal="center"/>
    </xf>
    <xf numFmtId="0" fontId="0" fillId="0" borderId="20" xfId="0" applyFont="1" applyBorder="1"/>
    <xf numFmtId="0" fontId="0" fillId="0" borderId="13" xfId="0" applyFont="1" applyBorder="1"/>
    <xf numFmtId="0" fontId="0" fillId="0" borderId="0" xfId="0" applyFont="1" applyFill="1" applyBorder="1"/>
    <xf numFmtId="164" fontId="0" fillId="0" borderId="27" xfId="0" applyNumberFormat="1" applyFont="1" applyBorder="1"/>
    <xf numFmtId="0" fontId="0" fillId="0" borderId="13" xfId="0" applyFont="1" applyBorder="1" applyAlignment="1">
      <alignment horizontal="left"/>
    </xf>
    <xf numFmtId="0" fontId="0" fillId="0" borderId="24" xfId="0" applyFont="1" applyBorder="1"/>
    <xf numFmtId="164" fontId="0" fillId="0" borderId="24" xfId="0" applyNumberFormat="1" applyFont="1" applyBorder="1"/>
    <xf numFmtId="0" fontId="0" fillId="0" borderId="23" xfId="0" applyFont="1" applyBorder="1"/>
    <xf numFmtId="0" fontId="0" fillId="0" borderId="24" xfId="0" applyFont="1" applyBorder="1" applyAlignment="1">
      <alignment horizontal="left"/>
    </xf>
    <xf numFmtId="0" fontId="0" fillId="0" borderId="27" xfId="0" applyFont="1" applyBorder="1"/>
    <xf numFmtId="0" fontId="0" fillId="0" borderId="27" xfId="0" applyFont="1" applyBorder="1" applyAlignment="1">
      <alignment horizontal="left"/>
    </xf>
    <xf numFmtId="0" fontId="0" fillId="0" borderId="26" xfId="0" applyFont="1" applyBorder="1"/>
    <xf numFmtId="0" fontId="0" fillId="2" borderId="27" xfId="0" applyFont="1" applyFill="1" applyBorder="1"/>
    <xf numFmtId="164" fontId="0" fillId="0" borderId="0" xfId="0" applyNumberFormat="1" applyFont="1" applyBorder="1"/>
    <xf numFmtId="164" fontId="0" fillId="2" borderId="13" xfId="0" applyNumberFormat="1" applyFont="1" applyFill="1" applyBorder="1"/>
    <xf numFmtId="0" fontId="0" fillId="2" borderId="27" xfId="0" applyFont="1" applyFill="1" applyBorder="1" applyAlignment="1">
      <alignment horizontal="left"/>
    </xf>
    <xf numFmtId="164" fontId="0" fillId="0" borderId="27" xfId="0" applyNumberFormat="1" applyFont="1" applyBorder="1" applyAlignment="1">
      <alignment vertical="center"/>
    </xf>
    <xf numFmtId="164" fontId="0" fillId="2" borderId="27" xfId="0" applyNumberFormat="1" applyFont="1" applyFill="1" applyBorder="1"/>
    <xf numFmtId="0" fontId="0" fillId="2" borderId="26" xfId="0" applyFont="1" applyFill="1" applyBorder="1"/>
    <xf numFmtId="0" fontId="0" fillId="0" borderId="0" xfId="0" applyFont="1"/>
    <xf numFmtId="0" fontId="0" fillId="0" borderId="0" xfId="0" applyFont="1" applyAlignment="1">
      <alignment horizontal="left"/>
    </xf>
    <xf numFmtId="20" fontId="3" fillId="0" borderId="29" xfId="2" applyNumberFormat="1" applyFont="1" applyBorder="1"/>
    <xf numFmtId="0" fontId="11" fillId="0" borderId="29" xfId="0" applyFont="1" applyBorder="1"/>
    <xf numFmtId="0" fontId="3" fillId="2" borderId="26" xfId="2" applyFont="1" applyFill="1" applyBorder="1"/>
    <xf numFmtId="0" fontId="4" fillId="2" borderId="27" xfId="2" applyFont="1" applyFill="1" applyBorder="1" applyAlignment="1">
      <alignment horizontal="right"/>
    </xf>
    <xf numFmtId="0" fontId="1" fillId="0" borderId="23" xfId="1" applyFont="1" applyBorder="1"/>
    <xf numFmtId="0" fontId="0" fillId="0" borderId="27" xfId="0" applyFill="1" applyBorder="1"/>
    <xf numFmtId="0" fontId="3" fillId="0" borderId="20" xfId="2" applyFont="1" applyBorder="1" applyAlignment="1">
      <alignment vertical="center" wrapText="1"/>
    </xf>
    <xf numFmtId="0" fontId="3" fillId="2" borderId="23" xfId="2" applyFont="1" applyFill="1" applyBorder="1"/>
    <xf numFmtId="0" fontId="4" fillId="2" borderId="24" xfId="2" applyFont="1" applyFill="1" applyBorder="1" applyAlignment="1">
      <alignment horizontal="right"/>
    </xf>
    <xf numFmtId="0" fontId="3" fillId="2" borderId="24" xfId="2" applyFont="1" applyFill="1" applyBorder="1" applyAlignment="1">
      <alignment vertical="center"/>
    </xf>
    <xf numFmtId="0" fontId="3" fillId="2" borderId="24" xfId="2" applyFont="1" applyFill="1" applyBorder="1" applyAlignment="1">
      <alignment horizontal="center" vertical="center"/>
    </xf>
    <xf numFmtId="0" fontId="0" fillId="0" borderId="22" xfId="0" applyFont="1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3" fillId="2" borderId="23" xfId="2" applyFont="1" applyFill="1" applyBorder="1" applyAlignment="1">
      <alignment vertical="center"/>
    </xf>
    <xf numFmtId="0" fontId="3" fillId="0" borderId="20" xfId="2" applyFont="1" applyFill="1" applyBorder="1" applyAlignment="1">
      <alignment vertical="center"/>
    </xf>
    <xf numFmtId="0" fontId="3" fillId="0" borderId="13" xfId="2" applyFont="1" applyFill="1" applyBorder="1" applyAlignment="1">
      <alignment vertical="center"/>
    </xf>
    <xf numFmtId="0" fontId="3" fillId="0" borderId="23" xfId="2" applyFont="1" applyFill="1" applyBorder="1" applyAlignment="1">
      <alignment vertical="center"/>
    </xf>
    <xf numFmtId="0" fontId="3" fillId="0" borderId="13" xfId="2" applyFont="1" applyFill="1" applyBorder="1" applyAlignment="1">
      <alignment horizontal="center" vertical="center"/>
    </xf>
    <xf numFmtId="0" fontId="0" fillId="0" borderId="28" xfId="0" applyFont="1" applyBorder="1"/>
    <xf numFmtId="0" fontId="0" fillId="0" borderId="26" xfId="0" applyFont="1" applyFill="1" applyBorder="1"/>
    <xf numFmtId="0" fontId="0" fillId="0" borderId="27" xfId="0" applyFont="1" applyFill="1" applyBorder="1"/>
    <xf numFmtId="0" fontId="0" fillId="2" borderId="28" xfId="0" applyFont="1" applyFill="1" applyBorder="1"/>
    <xf numFmtId="0" fontId="3" fillId="0" borderId="21" xfId="2" applyFont="1" applyBorder="1" applyAlignment="1">
      <alignment vertical="center"/>
    </xf>
    <xf numFmtId="0" fontId="0" fillId="0" borderId="21" xfId="0" applyFont="1" applyBorder="1"/>
    <xf numFmtId="0" fontId="0" fillId="0" borderId="22" xfId="0" applyFont="1" applyBorder="1"/>
    <xf numFmtId="0" fontId="0" fillId="0" borderId="25" xfId="0" applyFont="1" applyBorder="1"/>
    <xf numFmtId="0" fontId="21" fillId="0" borderId="0" xfId="2" applyFont="1" applyBorder="1" applyAlignment="1">
      <alignment horizontal="left" vertical="center"/>
    </xf>
    <xf numFmtId="0" fontId="3" fillId="0" borderId="24" xfId="2" applyFont="1" applyBorder="1" applyAlignment="1">
      <alignment horizontal="left" vertical="center"/>
    </xf>
    <xf numFmtId="0" fontId="15" fillId="0" borderId="0" xfId="0" applyFont="1" applyBorder="1" applyAlignment="1">
      <alignment horizontal="center" vertical="center"/>
    </xf>
    <xf numFmtId="0" fontId="16" fillId="0" borderId="0" xfId="0" applyFont="1" applyBorder="1"/>
    <xf numFmtId="0" fontId="16" fillId="0" borderId="26" xfId="0" applyFont="1" applyBorder="1"/>
    <xf numFmtId="0" fontId="0" fillId="0" borderId="26" xfId="0" applyFill="1" applyBorder="1"/>
    <xf numFmtId="0" fontId="0" fillId="2" borderId="27" xfId="0" applyFill="1" applyBorder="1" applyAlignment="1"/>
    <xf numFmtId="0" fontId="0" fillId="2" borderId="28" xfId="0" applyFill="1" applyBorder="1" applyAlignment="1"/>
    <xf numFmtId="0" fontId="0" fillId="2" borderId="27" xfId="0" applyFill="1" applyBorder="1" applyAlignment="1">
      <alignment horizontal="center"/>
    </xf>
    <xf numFmtId="0" fontId="16" fillId="0" borderId="21" xfId="0" applyFont="1" applyFill="1" applyBorder="1" applyAlignment="1">
      <alignment horizontal="center"/>
    </xf>
    <xf numFmtId="0" fontId="3" fillId="2" borderId="13" xfId="2" applyFont="1" applyFill="1" applyBorder="1"/>
    <xf numFmtId="0" fontId="3" fillId="0" borderId="13" xfId="2" applyFont="1" applyFill="1" applyBorder="1"/>
    <xf numFmtId="0" fontId="3" fillId="0" borderId="21" xfId="2" applyFont="1" applyFill="1" applyBorder="1"/>
    <xf numFmtId="0" fontId="23" fillId="0" borderId="10" xfId="0" applyFont="1" applyBorder="1" applyAlignment="1">
      <alignment horizontal="center" vertical="center" textRotation="90"/>
    </xf>
    <xf numFmtId="0" fontId="3" fillId="0" borderId="0" xfId="2" applyFont="1" applyBorder="1" applyAlignment="1">
      <alignment horizontal="left" vertical="center"/>
    </xf>
    <xf numFmtId="0" fontId="3" fillId="0" borderId="24" xfId="2" applyFont="1" applyBorder="1" applyAlignment="1">
      <alignment horizontal="left" vertical="center"/>
    </xf>
    <xf numFmtId="0" fontId="3" fillId="2" borderId="26" xfId="2" applyFont="1" applyFill="1" applyBorder="1" applyAlignment="1">
      <alignment vertical="center" wrapText="1"/>
    </xf>
    <xf numFmtId="0" fontId="13" fillId="0" borderId="0" xfId="2" applyFont="1" applyBorder="1" applyAlignment="1">
      <alignment horizontal="center" vertical="center" textRotation="90"/>
    </xf>
    <xf numFmtId="164" fontId="0" fillId="0" borderId="24" xfId="0" applyNumberFormat="1" applyBorder="1"/>
    <xf numFmtId="0" fontId="0" fillId="0" borderId="29" xfId="0" applyFill="1" applyBorder="1"/>
    <xf numFmtId="0" fontId="0" fillId="0" borderId="24" xfId="0" applyBorder="1" applyAlignment="1">
      <alignment horizontal="center"/>
    </xf>
    <xf numFmtId="0" fontId="11" fillId="0" borderId="26" xfId="0" applyFont="1" applyBorder="1"/>
    <xf numFmtId="0" fontId="0" fillId="0" borderId="27" xfId="0" applyBorder="1" applyAlignment="1">
      <alignment horizontal="center"/>
    </xf>
    <xf numFmtId="0" fontId="0" fillId="0" borderId="27" xfId="0" applyBorder="1" applyAlignment="1">
      <alignment vertical="center"/>
    </xf>
    <xf numFmtId="0" fontId="0" fillId="0" borderId="27" xfId="0" applyFont="1" applyBorder="1" applyAlignment="1">
      <alignment vertical="center"/>
    </xf>
    <xf numFmtId="0" fontId="0" fillId="0" borderId="26" xfId="0" applyFont="1" applyBorder="1" applyAlignment="1"/>
    <xf numFmtId="0" fontId="0" fillId="0" borderId="28" xfId="0" applyBorder="1" applyAlignment="1">
      <alignment horizontal="center"/>
    </xf>
    <xf numFmtId="0" fontId="23" fillId="0" borderId="10" xfId="0" applyFont="1" applyBorder="1" applyAlignment="1">
      <alignment horizontal="center" vertical="center" textRotation="90"/>
    </xf>
    <xf numFmtId="0" fontId="3" fillId="0" borderId="0" xfId="2" applyFont="1" applyBorder="1" applyAlignment="1">
      <alignment horizontal="left" vertical="center"/>
    </xf>
    <xf numFmtId="0" fontId="3" fillId="0" borderId="24" xfId="2" applyFont="1" applyBorder="1" applyAlignment="1">
      <alignment horizontal="left" vertical="center"/>
    </xf>
    <xf numFmtId="0" fontId="3" fillId="0" borderId="19" xfId="2" applyFont="1" applyFill="1" applyBorder="1" applyAlignment="1">
      <alignment horizontal="left"/>
    </xf>
    <xf numFmtId="0" fontId="3" fillId="0" borderId="12" xfId="2" applyFont="1" applyFill="1" applyBorder="1" applyAlignment="1">
      <alignment horizontal="left"/>
    </xf>
    <xf numFmtId="0" fontId="0" fillId="0" borderId="19" xfId="0" applyFont="1" applyBorder="1" applyAlignment="1">
      <alignment horizontal="left"/>
    </xf>
    <xf numFmtId="0" fontId="3" fillId="2" borderId="11" xfId="2" applyFont="1" applyFill="1" applyBorder="1" applyAlignment="1">
      <alignment horizontal="left"/>
    </xf>
    <xf numFmtId="0" fontId="3" fillId="2" borderId="19" xfId="2" applyFont="1" applyFill="1" applyBorder="1" applyAlignment="1">
      <alignment horizontal="left"/>
    </xf>
    <xf numFmtId="0" fontId="0" fillId="2" borderId="19" xfId="0" applyFont="1" applyFill="1" applyBorder="1" applyAlignment="1">
      <alignment horizontal="left"/>
    </xf>
    <xf numFmtId="0" fontId="1" fillId="0" borderId="12" xfId="1" applyFont="1" applyFill="1" applyBorder="1" applyAlignment="1">
      <alignment horizontal="left"/>
    </xf>
    <xf numFmtId="0" fontId="1" fillId="0" borderId="11" xfId="1" applyFont="1" applyFill="1" applyBorder="1" applyAlignment="1">
      <alignment horizontal="left"/>
    </xf>
    <xf numFmtId="0" fontId="1" fillId="0" borderId="12" xfId="1" applyFont="1" applyBorder="1" applyAlignment="1">
      <alignment horizontal="left"/>
    </xf>
    <xf numFmtId="0" fontId="0" fillId="0" borderId="11" xfId="0" applyFont="1" applyBorder="1" applyAlignment="1">
      <alignment horizontal="left"/>
    </xf>
    <xf numFmtId="0" fontId="3" fillId="0" borderId="11" xfId="2" applyFont="1" applyBorder="1" applyAlignment="1">
      <alignment horizontal="left"/>
    </xf>
    <xf numFmtId="0" fontId="3" fillId="0" borderId="12" xfId="2" applyFont="1" applyBorder="1" applyAlignment="1">
      <alignment horizontal="left" vertical="center"/>
    </xf>
    <xf numFmtId="0" fontId="1" fillId="0" borderId="11" xfId="1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16" fillId="0" borderId="11" xfId="1" applyFont="1" applyBorder="1" applyAlignment="1">
      <alignment horizontal="left"/>
    </xf>
    <xf numFmtId="0" fontId="3" fillId="0" borderId="12" xfId="2" applyFont="1" applyBorder="1" applyAlignment="1">
      <alignment horizontal="left"/>
    </xf>
    <xf numFmtId="0" fontId="0" fillId="0" borderId="27" xfId="0" applyFont="1" applyBorder="1" applyAlignment="1">
      <alignment horizontal="center"/>
    </xf>
    <xf numFmtId="0" fontId="14" fillId="0" borderId="0" xfId="0" applyFont="1"/>
    <xf numFmtId="0" fontId="0" fillId="0" borderId="12" xfId="0" applyBorder="1"/>
    <xf numFmtId="0" fontId="0" fillId="0" borderId="10" xfId="0" applyBorder="1"/>
    <xf numFmtId="0" fontId="0" fillId="0" borderId="11" xfId="0" applyBorder="1"/>
    <xf numFmtId="0" fontId="0" fillId="2" borderId="19" xfId="0" applyFill="1" applyBorder="1"/>
    <xf numFmtId="0" fontId="0" fillId="2" borderId="11" xfId="0" applyFill="1" applyBorder="1"/>
    <xf numFmtId="0" fontId="0" fillId="0" borderId="11" xfId="0" applyBorder="1" applyAlignment="1">
      <alignment horizontal="center"/>
    </xf>
    <xf numFmtId="0" fontId="0" fillId="0" borderId="11" xfId="0" applyFill="1" applyBorder="1"/>
    <xf numFmtId="0" fontId="0" fillId="0" borderId="12" xfId="0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2" borderId="0" xfId="0" applyFill="1" applyBorder="1"/>
    <xf numFmtId="0" fontId="0" fillId="3" borderId="0" xfId="0" applyFill="1"/>
    <xf numFmtId="0" fontId="26" fillId="0" borderId="23" xfId="0" applyFont="1" applyBorder="1"/>
    <xf numFmtId="0" fontId="0" fillId="2" borderId="12" xfId="0" applyFill="1" applyBorder="1"/>
    <xf numFmtId="0" fontId="26" fillId="0" borderId="10" xfId="0" applyFont="1" applyBorder="1"/>
    <xf numFmtId="0" fontId="3" fillId="3" borderId="0" xfId="2" applyFont="1" applyFill="1" applyBorder="1"/>
    <xf numFmtId="0" fontId="0" fillId="0" borderId="0" xfId="0" applyFill="1" applyAlignment="1">
      <alignment horizontal="center"/>
    </xf>
    <xf numFmtId="0" fontId="3" fillId="0" borderId="30" xfId="2" applyFont="1" applyFill="1" applyBorder="1"/>
    <xf numFmtId="0" fontId="3" fillId="0" borderId="31" xfId="2" applyFont="1" applyBorder="1"/>
    <xf numFmtId="0" fontId="3" fillId="0" borderId="30" xfId="2" applyFont="1" applyBorder="1"/>
    <xf numFmtId="0" fontId="3" fillId="0" borderId="15" xfId="2" applyFont="1" applyBorder="1" applyAlignment="1">
      <alignment wrapText="1"/>
    </xf>
    <xf numFmtId="0" fontId="3" fillId="0" borderId="16" xfId="2" applyFont="1" applyBorder="1" applyAlignment="1">
      <alignment wrapText="1"/>
    </xf>
    <xf numFmtId="0" fontId="0" fillId="0" borderId="22" xfId="0" applyFill="1" applyBorder="1"/>
    <xf numFmtId="0" fontId="0" fillId="0" borderId="35" xfId="0" applyBorder="1"/>
    <xf numFmtId="0" fontId="0" fillId="2" borderId="35" xfId="0" applyFill="1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0" fontId="0" fillId="0" borderId="37" xfId="0" applyFill="1" applyBorder="1"/>
    <xf numFmtId="0" fontId="0" fillId="0" borderId="39" xfId="0" applyFill="1" applyBorder="1"/>
    <xf numFmtId="0" fontId="0" fillId="0" borderId="38" xfId="0" applyFill="1" applyBorder="1"/>
    <xf numFmtId="0" fontId="0" fillId="0" borderId="39" xfId="0" applyFill="1" applyBorder="1" applyAlignment="1">
      <alignment horizontal="center"/>
    </xf>
    <xf numFmtId="0" fontId="0" fillId="0" borderId="41" xfId="0" applyFill="1" applyBorder="1"/>
    <xf numFmtId="0" fontId="0" fillId="2" borderId="37" xfId="0" applyFill="1" applyBorder="1"/>
    <xf numFmtId="0" fontId="0" fillId="2" borderId="39" xfId="0" applyFill="1" applyBorder="1"/>
    <xf numFmtId="0" fontId="0" fillId="2" borderId="38" xfId="0" applyFill="1" applyBorder="1"/>
    <xf numFmtId="0" fontId="0" fillId="0" borderId="39" xfId="0" applyBorder="1" applyAlignment="1">
      <alignment horizontal="center"/>
    </xf>
    <xf numFmtId="0" fontId="0" fillId="0" borderId="41" xfId="0" applyBorder="1"/>
    <xf numFmtId="0" fontId="0" fillId="2" borderId="39" xfId="0" applyFill="1" applyBorder="1" applyAlignment="1">
      <alignment horizontal="center"/>
    </xf>
    <xf numFmtId="0" fontId="3" fillId="0" borderId="39" xfId="2" applyFont="1" applyFill="1" applyBorder="1" applyAlignment="1">
      <alignment horizontal="left" vertical="center"/>
    </xf>
    <xf numFmtId="0" fontId="1" fillId="0" borderId="39" xfId="1" applyFont="1" applyFill="1" applyBorder="1" applyAlignment="1">
      <alignment horizontal="left"/>
    </xf>
    <xf numFmtId="0" fontId="0" fillId="2" borderId="40" xfId="0" applyFill="1" applyBorder="1"/>
    <xf numFmtId="0" fontId="0" fillId="2" borderId="41" xfId="0" applyFill="1" applyBorder="1"/>
    <xf numFmtId="0" fontId="0" fillId="0" borderId="16" xfId="0" applyBorder="1"/>
    <xf numFmtId="0" fontId="0" fillId="2" borderId="36" xfId="0" applyFill="1" applyBorder="1"/>
    <xf numFmtId="0" fontId="0" fillId="2" borderId="42" xfId="0" applyFill="1" applyBorder="1"/>
    <xf numFmtId="0" fontId="0" fillId="2" borderId="43" xfId="0" applyFill="1" applyBorder="1"/>
    <xf numFmtId="0" fontId="0" fillId="0" borderId="44" xfId="0" applyBorder="1"/>
    <xf numFmtId="0" fontId="0" fillId="0" borderId="45" xfId="0" applyBorder="1"/>
    <xf numFmtId="0" fontId="0" fillId="0" borderId="39" xfId="0" applyBorder="1"/>
    <xf numFmtId="0" fontId="3" fillId="0" borderId="26" xfId="2" applyFont="1" applyFill="1" applyBorder="1" applyAlignment="1">
      <alignment horizontal="left"/>
    </xf>
    <xf numFmtId="0" fontId="3" fillId="0" borderId="26" xfId="2" applyFont="1" applyBorder="1" applyAlignment="1">
      <alignment horizontal="left"/>
    </xf>
    <xf numFmtId="0" fontId="3" fillId="2" borderId="26" xfId="2" applyFont="1" applyFill="1" applyBorder="1" applyAlignment="1">
      <alignment horizontal="left"/>
    </xf>
    <xf numFmtId="0" fontId="0" fillId="0" borderId="46" xfId="0" applyBorder="1"/>
    <xf numFmtId="0" fontId="3" fillId="0" borderId="46" xfId="2" applyFont="1" applyFill="1" applyBorder="1" applyAlignment="1">
      <alignment vertical="center"/>
    </xf>
    <xf numFmtId="0" fontId="1" fillId="0" borderId="46" xfId="1" applyFont="1" applyBorder="1"/>
    <xf numFmtId="0" fontId="0" fillId="0" borderId="46" xfId="0" applyFont="1" applyBorder="1"/>
    <xf numFmtId="0" fontId="26" fillId="0" borderId="46" xfId="0" applyFont="1" applyBorder="1"/>
    <xf numFmtId="0" fontId="3" fillId="0" borderId="46" xfId="2" applyFont="1" applyBorder="1"/>
    <xf numFmtId="0" fontId="3" fillId="0" borderId="46" xfId="2" applyFont="1" applyBorder="1" applyAlignment="1">
      <alignment vertical="center"/>
    </xf>
    <xf numFmtId="0" fontId="3" fillId="0" borderId="46" xfId="2" applyFont="1" applyFill="1" applyBorder="1"/>
    <xf numFmtId="0" fontId="1" fillId="0" borderId="46" xfId="1" applyFont="1" applyFill="1" applyBorder="1"/>
    <xf numFmtId="0" fontId="16" fillId="0" borderId="46" xfId="1" applyFont="1" applyBorder="1"/>
    <xf numFmtId="0" fontId="3" fillId="0" borderId="46" xfId="2" applyFont="1" applyBorder="1" applyAlignment="1">
      <alignment wrapText="1"/>
    </xf>
    <xf numFmtId="0" fontId="3" fillId="0" borderId="36" xfId="2" applyFont="1" applyBorder="1" applyAlignment="1">
      <alignment horizontal="left" wrapText="1"/>
    </xf>
    <xf numFmtId="0" fontId="3" fillId="0" borderId="35" xfId="2" applyFont="1" applyFill="1" applyBorder="1" applyAlignment="1">
      <alignment horizontal="left"/>
    </xf>
    <xf numFmtId="0" fontId="3" fillId="0" borderId="46" xfId="2" applyFont="1" applyFill="1" applyBorder="1" applyAlignment="1">
      <alignment horizontal="left"/>
    </xf>
    <xf numFmtId="0" fontId="3" fillId="0" borderId="16" xfId="2" applyFont="1" applyFill="1" applyBorder="1" applyAlignment="1">
      <alignment horizontal="left"/>
    </xf>
    <xf numFmtId="0" fontId="3" fillId="0" borderId="37" xfId="2" applyFont="1" applyFill="1" applyBorder="1" applyAlignment="1">
      <alignment horizontal="left"/>
    </xf>
    <xf numFmtId="0" fontId="3" fillId="0" borderId="39" xfId="2" applyFont="1" applyFill="1" applyBorder="1" applyAlignment="1">
      <alignment horizontal="left"/>
    </xf>
    <xf numFmtId="0" fontId="3" fillId="2" borderId="35" xfId="2" applyFont="1" applyFill="1" applyBorder="1" applyAlignment="1">
      <alignment horizontal="left"/>
    </xf>
    <xf numFmtId="0" fontId="3" fillId="0" borderId="35" xfId="2" applyFont="1" applyBorder="1" applyAlignment="1">
      <alignment horizontal="left"/>
    </xf>
    <xf numFmtId="0" fontId="0" fillId="0" borderId="16" xfId="0" applyFont="1" applyBorder="1" applyAlignment="1">
      <alignment horizontal="left"/>
    </xf>
    <xf numFmtId="0" fontId="3" fillId="0" borderId="36" xfId="2" applyFont="1" applyFill="1" applyBorder="1" applyAlignment="1">
      <alignment horizontal="left" vertical="center"/>
    </xf>
    <xf numFmtId="0" fontId="3" fillId="0" borderId="38" xfId="2" applyFont="1" applyFill="1" applyBorder="1" applyAlignment="1">
      <alignment horizontal="left" vertical="center"/>
    </xf>
    <xf numFmtId="0" fontId="3" fillId="0" borderId="41" xfId="2" applyFont="1" applyFill="1" applyBorder="1" applyAlignment="1">
      <alignment horizontal="left" vertical="center"/>
    </xf>
    <xf numFmtId="0" fontId="3" fillId="2" borderId="49" xfId="2" applyFont="1" applyFill="1" applyBorder="1" applyAlignment="1">
      <alignment vertical="center"/>
    </xf>
    <xf numFmtId="0" fontId="3" fillId="2" borderId="48" xfId="2" applyFont="1" applyFill="1" applyBorder="1" applyAlignment="1">
      <alignment horizontal="left" vertical="center"/>
    </xf>
    <xf numFmtId="0" fontId="0" fillId="0" borderId="39" xfId="0" applyFont="1" applyBorder="1" applyAlignment="1">
      <alignment horizontal="left"/>
    </xf>
    <xf numFmtId="0" fontId="3" fillId="0" borderId="35" xfId="2" applyFont="1" applyFill="1" applyBorder="1" applyAlignment="1">
      <alignment horizontal="left" vertical="center"/>
    </xf>
    <xf numFmtId="0" fontId="3" fillId="2" borderId="42" xfId="2" applyFont="1" applyFill="1" applyBorder="1" applyAlignment="1">
      <alignment vertical="center"/>
    </xf>
    <xf numFmtId="0" fontId="3" fillId="2" borderId="43" xfId="2" applyFont="1" applyFill="1" applyBorder="1" applyAlignment="1">
      <alignment horizontal="left" vertical="center"/>
    </xf>
    <xf numFmtId="0" fontId="1" fillId="0" borderId="36" xfId="1" applyFont="1" applyFill="1" applyBorder="1" applyAlignment="1">
      <alignment horizontal="left"/>
    </xf>
    <xf numFmtId="0" fontId="0" fillId="0" borderId="38" xfId="0" applyFont="1" applyFill="1" applyBorder="1" applyAlignment="1">
      <alignment horizontal="left"/>
    </xf>
    <xf numFmtId="0" fontId="0" fillId="2" borderId="39" xfId="0" applyFont="1" applyFill="1" applyBorder="1" applyAlignment="1">
      <alignment horizontal="left"/>
    </xf>
    <xf numFmtId="0" fontId="0" fillId="2" borderId="38" xfId="0" applyFont="1" applyFill="1" applyBorder="1" applyAlignment="1">
      <alignment horizontal="left"/>
    </xf>
    <xf numFmtId="0" fontId="0" fillId="0" borderId="36" xfId="0" applyFont="1" applyFill="1" applyBorder="1" applyAlignment="1">
      <alignment horizontal="left"/>
    </xf>
    <xf numFmtId="0" fontId="3" fillId="2" borderId="41" xfId="2" applyFont="1" applyFill="1" applyBorder="1" applyAlignment="1">
      <alignment horizontal="left"/>
    </xf>
    <xf numFmtId="0" fontId="1" fillId="0" borderId="38" xfId="1" applyFont="1" applyFill="1" applyBorder="1" applyAlignment="1">
      <alignment horizontal="left"/>
    </xf>
    <xf numFmtId="0" fontId="1" fillId="0" borderId="41" xfId="1" applyFont="1" applyFill="1" applyBorder="1" applyAlignment="1">
      <alignment horizontal="left"/>
    </xf>
    <xf numFmtId="0" fontId="0" fillId="0" borderId="39" xfId="0" applyFont="1" applyFill="1" applyBorder="1" applyAlignment="1">
      <alignment horizontal="left"/>
    </xf>
    <xf numFmtId="0" fontId="0" fillId="0" borderId="16" xfId="0" applyFont="1" applyFill="1" applyBorder="1" applyAlignment="1">
      <alignment horizontal="left"/>
    </xf>
    <xf numFmtId="0" fontId="0" fillId="0" borderId="36" xfId="0" applyFont="1" applyBorder="1" applyAlignment="1">
      <alignment horizontal="left"/>
    </xf>
    <xf numFmtId="0" fontId="0" fillId="0" borderId="38" xfId="0" applyFont="1" applyBorder="1" applyAlignment="1">
      <alignment horizontal="left"/>
    </xf>
    <xf numFmtId="0" fontId="0" fillId="2" borderId="35" xfId="0" applyFont="1" applyFill="1" applyBorder="1" applyAlignment="1">
      <alignment horizontal="left"/>
    </xf>
    <xf numFmtId="0" fontId="1" fillId="0" borderId="36" xfId="1" applyFont="1" applyBorder="1" applyAlignment="1">
      <alignment horizontal="left"/>
    </xf>
    <xf numFmtId="0" fontId="3" fillId="0" borderId="38" xfId="2" applyFont="1" applyFill="1" applyBorder="1" applyAlignment="1">
      <alignment horizontal="left"/>
    </xf>
    <xf numFmtId="0" fontId="3" fillId="0" borderId="38" xfId="2" applyFont="1" applyBorder="1" applyAlignment="1">
      <alignment horizontal="left"/>
    </xf>
    <xf numFmtId="0" fontId="16" fillId="0" borderId="39" xfId="1" applyFont="1" applyBorder="1" applyAlignment="1">
      <alignment horizontal="left"/>
    </xf>
    <xf numFmtId="0" fontId="1" fillId="0" borderId="39" xfId="1" applyFont="1" applyBorder="1" applyAlignment="1">
      <alignment horizontal="left"/>
    </xf>
    <xf numFmtId="0" fontId="1" fillId="0" borderId="38" xfId="1" applyFont="1" applyBorder="1" applyAlignment="1">
      <alignment horizontal="left"/>
    </xf>
    <xf numFmtId="0" fontId="1" fillId="0" borderId="41" xfId="1" applyFont="1" applyBorder="1" applyAlignment="1">
      <alignment horizontal="left"/>
    </xf>
    <xf numFmtId="0" fontId="3" fillId="0" borderId="43" xfId="2" applyFont="1" applyBorder="1" applyAlignment="1">
      <alignment horizontal="left"/>
    </xf>
    <xf numFmtId="0" fontId="0" fillId="0" borderId="43" xfId="0" applyFont="1" applyBorder="1" applyAlignment="1">
      <alignment horizontal="left"/>
    </xf>
    <xf numFmtId="0" fontId="3" fillId="0" borderId="39" xfId="2" applyFont="1" applyBorder="1" applyAlignment="1">
      <alignment horizontal="left"/>
    </xf>
    <xf numFmtId="0" fontId="3" fillId="0" borderId="35" xfId="2" applyFont="1" applyBorder="1" applyAlignment="1">
      <alignment horizontal="left" vertical="center"/>
    </xf>
    <xf numFmtId="0" fontId="3" fillId="2" borderId="42" xfId="2" applyFont="1" applyFill="1" applyBorder="1" applyAlignment="1">
      <alignment wrapText="1"/>
    </xf>
    <xf numFmtId="0" fontId="3" fillId="0" borderId="36" xfId="2" applyFont="1" applyBorder="1" applyAlignment="1">
      <alignment horizontal="left"/>
    </xf>
    <xf numFmtId="0" fontId="3" fillId="0" borderId="41" xfId="2" applyFont="1" applyBorder="1" applyAlignment="1">
      <alignment horizontal="left"/>
    </xf>
    <xf numFmtId="0" fontId="3" fillId="2" borderId="49" xfId="2" applyFont="1" applyFill="1" applyBorder="1" applyAlignment="1">
      <alignment vertical="center" wrapText="1"/>
    </xf>
    <xf numFmtId="0" fontId="17" fillId="0" borderId="38" xfId="2" applyFont="1" applyBorder="1" applyAlignment="1">
      <alignment horizontal="left" wrapText="1"/>
    </xf>
    <xf numFmtId="0" fontId="3" fillId="0" borderId="43" xfId="2" applyFont="1" applyBorder="1" applyAlignment="1">
      <alignment horizontal="left" vertical="center"/>
    </xf>
    <xf numFmtId="0" fontId="3" fillId="0" borderId="16" xfId="2" applyFont="1" applyFill="1" applyBorder="1" applyAlignment="1">
      <alignment horizontal="left" vertical="center"/>
    </xf>
    <xf numFmtId="0" fontId="3" fillId="0" borderId="16" xfId="2" applyFont="1" applyBorder="1" applyAlignment="1">
      <alignment horizontal="left" vertical="center"/>
    </xf>
    <xf numFmtId="0" fontId="0" fillId="0" borderId="35" xfId="0" applyFont="1" applyBorder="1" applyAlignment="1">
      <alignment horizontal="left"/>
    </xf>
    <xf numFmtId="0" fontId="0" fillId="0" borderId="41" xfId="0" applyFont="1" applyBorder="1" applyAlignment="1">
      <alignment horizontal="left"/>
    </xf>
    <xf numFmtId="0" fontId="0" fillId="0" borderId="38" xfId="0" quotePrefix="1" applyFont="1" applyBorder="1" applyAlignment="1">
      <alignment horizontal="left"/>
    </xf>
    <xf numFmtId="0" fontId="0" fillId="0" borderId="41" xfId="0" quotePrefix="1" applyFont="1" applyBorder="1" applyAlignment="1">
      <alignment horizontal="left"/>
    </xf>
    <xf numFmtId="0" fontId="0" fillId="0" borderId="35" xfId="0" quotePrefix="1" applyFont="1" applyBorder="1" applyAlignment="1">
      <alignment horizontal="left"/>
    </xf>
    <xf numFmtId="0" fontId="3" fillId="2" borderId="42" xfId="2" applyFont="1" applyFill="1" applyBorder="1" applyAlignment="1">
      <alignment vertical="center" wrapText="1"/>
    </xf>
    <xf numFmtId="0" fontId="0" fillId="0" borderId="39" xfId="0" applyFont="1" applyBorder="1" applyAlignment="1">
      <alignment horizontal="left" vertical="center"/>
    </xf>
    <xf numFmtId="0" fontId="0" fillId="0" borderId="38" xfId="0" applyFont="1" applyBorder="1" applyAlignment="1">
      <alignment vertical="center"/>
    </xf>
    <xf numFmtId="0" fontId="0" fillId="0" borderId="42" xfId="0" applyFont="1" applyBorder="1"/>
    <xf numFmtId="0" fontId="0" fillId="0" borderId="42" xfId="0" applyFont="1" applyBorder="1" applyAlignment="1">
      <alignment vertical="center"/>
    </xf>
    <xf numFmtId="0" fontId="1" fillId="0" borderId="0" xfId="1" applyFill="1" applyBorder="1"/>
    <xf numFmtId="0" fontId="27" fillId="0" borderId="46" xfId="2" applyFont="1" applyBorder="1" applyAlignment="1">
      <alignment wrapText="1"/>
    </xf>
    <xf numFmtId="0" fontId="7" fillId="0" borderId="19" xfId="2" applyFont="1" applyFill="1" applyBorder="1"/>
    <xf numFmtId="0" fontId="12" fillId="0" borderId="19" xfId="0" applyFont="1" applyFill="1" applyBorder="1" applyAlignment="1">
      <alignment horizontal="center"/>
    </xf>
    <xf numFmtId="49" fontId="0" fillId="0" borderId="19" xfId="0" applyNumberFormat="1" applyBorder="1" applyAlignment="1">
      <alignment horizontal="center" vertical="center"/>
    </xf>
    <xf numFmtId="0" fontId="19" fillId="0" borderId="29" xfId="0" applyFont="1" applyBorder="1"/>
    <xf numFmtId="0" fontId="3" fillId="2" borderId="28" xfId="2" applyFont="1" applyFill="1" applyBorder="1"/>
    <xf numFmtId="0" fontId="0" fillId="0" borderId="0" xfId="0" applyBorder="1" applyAlignment="1">
      <alignment vertical="center"/>
    </xf>
    <xf numFmtId="0" fontId="0" fillId="0" borderId="24" xfId="0" applyBorder="1" applyAlignment="1">
      <alignment vertical="center"/>
    </xf>
    <xf numFmtId="0" fontId="3" fillId="2" borderId="25" xfId="2" applyFont="1" applyFill="1" applyBorder="1" applyAlignment="1">
      <alignment horizontal="center"/>
    </xf>
    <xf numFmtId="0" fontId="3" fillId="2" borderId="0" xfId="2" applyFont="1" applyFill="1" applyBorder="1" applyAlignment="1">
      <alignment horizontal="center"/>
    </xf>
    <xf numFmtId="0" fontId="11" fillId="0" borderId="46" xfId="0" applyFont="1" applyBorder="1"/>
    <xf numFmtId="0" fontId="0" fillId="0" borderId="51" xfId="0" applyBorder="1"/>
    <xf numFmtId="0" fontId="0" fillId="0" borderId="50" xfId="0" applyFill="1" applyBorder="1" applyAlignment="1">
      <alignment horizontal="center"/>
    </xf>
    <xf numFmtId="0" fontId="3" fillId="0" borderId="13" xfId="2" applyFont="1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0" borderId="38" xfId="0" applyFill="1" applyBorder="1" applyAlignment="1">
      <alignment horizontal="center"/>
    </xf>
    <xf numFmtId="0" fontId="0" fillId="2" borderId="50" xfId="0" applyFill="1" applyBorder="1"/>
    <xf numFmtId="164" fontId="0" fillId="0" borderId="52" xfId="0" applyNumberFormat="1" applyBorder="1"/>
    <xf numFmtId="0" fontId="0" fillId="2" borderId="51" xfId="0" applyFill="1" applyBorder="1"/>
    <xf numFmtId="0" fontId="3" fillId="0" borderId="27" xfId="2" applyFont="1" applyFill="1" applyBorder="1"/>
    <xf numFmtId="0" fontId="3" fillId="0" borderId="27" xfId="2" applyFont="1" applyFill="1" applyBorder="1" applyAlignment="1">
      <alignment wrapText="1"/>
    </xf>
    <xf numFmtId="0" fontId="0" fillId="0" borderId="46" xfId="0" applyFont="1" applyBorder="1" applyAlignment="1">
      <alignment horizontal="left" vertical="center"/>
    </xf>
    <xf numFmtId="0" fontId="3" fillId="0" borderId="50" xfId="2" applyFont="1" applyFill="1" applyBorder="1" applyAlignment="1">
      <alignment horizontal="left"/>
    </xf>
    <xf numFmtId="0" fontId="0" fillId="0" borderId="19" xfId="0" applyFill="1" applyBorder="1"/>
    <xf numFmtId="0" fontId="0" fillId="0" borderId="50" xfId="0" applyBorder="1"/>
    <xf numFmtId="0" fontId="0" fillId="0" borderId="46" xfId="0" applyFill="1" applyBorder="1"/>
    <xf numFmtId="0" fontId="0" fillId="0" borderId="35" xfId="0" applyFill="1" applyBorder="1"/>
    <xf numFmtId="0" fontId="0" fillId="0" borderId="15" xfId="0" applyFill="1" applyBorder="1"/>
    <xf numFmtId="0" fontId="3" fillId="4" borderId="20" xfId="2" applyFont="1" applyFill="1" applyBorder="1"/>
    <xf numFmtId="0" fontId="3" fillId="4" borderId="0" xfId="2" applyFont="1" applyFill="1" applyBorder="1"/>
    <xf numFmtId="0" fontId="5" fillId="0" borderId="26" xfId="2" applyFont="1" applyBorder="1" applyAlignment="1">
      <alignment vertical="center"/>
    </xf>
    <xf numFmtId="0" fontId="0" fillId="0" borderId="11" xfId="0" applyFont="1" applyBorder="1"/>
    <xf numFmtId="0" fontId="3" fillId="0" borderId="52" xfId="2" applyFont="1" applyFill="1" applyBorder="1" applyAlignment="1">
      <alignment horizontal="left"/>
    </xf>
    <xf numFmtId="0" fontId="0" fillId="0" borderId="50" xfId="0" applyFont="1" applyBorder="1" applyAlignment="1">
      <alignment horizontal="left"/>
    </xf>
    <xf numFmtId="0" fontId="3" fillId="0" borderId="36" xfId="2" applyFont="1" applyFill="1" applyBorder="1" applyAlignment="1">
      <alignment horizontal="left"/>
    </xf>
    <xf numFmtId="0" fontId="3" fillId="0" borderId="52" xfId="2" applyFont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3" fillId="4" borderId="20" xfId="2" applyFont="1" applyFill="1" applyBorder="1" applyAlignment="1">
      <alignment vertical="center"/>
    </xf>
    <xf numFmtId="164" fontId="0" fillId="4" borderId="13" xfId="0" applyNumberFormat="1" applyFill="1" applyBorder="1"/>
    <xf numFmtId="0" fontId="3" fillId="4" borderId="13" xfId="2" applyFont="1" applyFill="1" applyBorder="1" applyAlignment="1">
      <alignment vertical="center"/>
    </xf>
    <xf numFmtId="0" fontId="3" fillId="4" borderId="21" xfId="2" applyFont="1" applyFill="1" applyBorder="1" applyAlignment="1">
      <alignment horizontal="center" vertical="center"/>
    </xf>
    <xf numFmtId="0" fontId="3" fillId="4" borderId="26" xfId="2" applyFont="1" applyFill="1" applyBorder="1" applyAlignment="1">
      <alignment vertical="center"/>
    </xf>
    <xf numFmtId="0" fontId="3" fillId="4" borderId="13" xfId="2" applyFont="1" applyFill="1" applyBorder="1"/>
    <xf numFmtId="0" fontId="3" fillId="4" borderId="21" xfId="2" applyFont="1" applyFill="1" applyBorder="1" applyAlignment="1">
      <alignment horizontal="center"/>
    </xf>
    <xf numFmtId="0" fontId="3" fillId="4" borderId="29" xfId="2" applyFont="1" applyFill="1" applyBorder="1"/>
    <xf numFmtId="0" fontId="11" fillId="4" borderId="14" xfId="0" applyFont="1" applyFill="1" applyBorder="1"/>
    <xf numFmtId="0" fontId="4" fillId="4" borderId="0" xfId="2" applyFont="1" applyFill="1" applyBorder="1" applyAlignment="1">
      <alignment horizontal="right"/>
    </xf>
    <xf numFmtId="0" fontId="0" fillId="4" borderId="22" xfId="0" applyFill="1" applyBorder="1" applyAlignment="1">
      <alignment horizontal="center"/>
    </xf>
    <xf numFmtId="0" fontId="3" fillId="4" borderId="29" xfId="2" applyFont="1" applyFill="1" applyBorder="1" applyAlignment="1"/>
    <xf numFmtId="0" fontId="19" fillId="4" borderId="0" xfId="0" applyFont="1" applyFill="1"/>
    <xf numFmtId="0" fontId="0" fillId="4" borderId="0" xfId="0" applyFill="1" applyBorder="1"/>
    <xf numFmtId="0" fontId="11" fillId="4" borderId="23" xfId="0" applyFont="1" applyFill="1" applyBorder="1"/>
    <xf numFmtId="0" fontId="4" fillId="4" borderId="24" xfId="2" applyFont="1" applyFill="1" applyBorder="1" applyAlignment="1">
      <alignment horizontal="right"/>
    </xf>
    <xf numFmtId="0" fontId="3" fillId="4" borderId="24" xfId="2" applyFont="1" applyFill="1" applyBorder="1"/>
    <xf numFmtId="0" fontId="0" fillId="4" borderId="25" xfId="0" applyFill="1" applyBorder="1" applyAlignment="1">
      <alignment horizontal="center"/>
    </xf>
    <xf numFmtId="0" fontId="3" fillId="4" borderId="23" xfId="2" applyFont="1" applyFill="1" applyBorder="1"/>
    <xf numFmtId="164" fontId="0" fillId="4" borderId="27" xfId="0" applyNumberFormat="1" applyFill="1" applyBorder="1"/>
    <xf numFmtId="0" fontId="3" fillId="4" borderId="27" xfId="2" applyFont="1" applyFill="1" applyBorder="1" applyAlignment="1">
      <alignment vertical="center"/>
    </xf>
    <xf numFmtId="0" fontId="3" fillId="4" borderId="28" xfId="2" applyFont="1" applyFill="1" applyBorder="1" applyAlignment="1">
      <alignment horizontal="center" vertical="center"/>
    </xf>
    <xf numFmtId="0" fontId="0" fillId="0" borderId="51" xfId="0" applyFont="1" applyFill="1" applyBorder="1"/>
    <xf numFmtId="164" fontId="0" fillId="0" borderId="52" xfId="0" applyNumberFormat="1" applyFont="1" applyBorder="1"/>
    <xf numFmtId="0" fontId="0" fillId="0" borderId="52" xfId="0" applyFont="1" applyBorder="1"/>
    <xf numFmtId="0" fontId="0" fillId="0" borderId="19" xfId="0" applyFont="1" applyBorder="1"/>
    <xf numFmtId="0" fontId="0" fillId="0" borderId="50" xfId="0" applyFont="1" applyBorder="1"/>
    <xf numFmtId="0" fontId="0" fillId="0" borderId="39" xfId="0" applyFont="1" applyBorder="1"/>
    <xf numFmtId="3" fontId="0" fillId="0" borderId="19" xfId="0" applyNumberFormat="1" applyBorder="1" applyAlignment="1">
      <alignment horizontal="left"/>
    </xf>
    <xf numFmtId="0" fontId="3" fillId="2" borderId="52" xfId="2" applyFont="1" applyFill="1" applyBorder="1" applyAlignment="1">
      <alignment vertical="center"/>
    </xf>
    <xf numFmtId="0" fontId="1" fillId="0" borderId="50" xfId="1" applyFont="1" applyBorder="1"/>
    <xf numFmtId="0" fontId="1" fillId="0" borderId="50" xfId="1" applyFont="1" applyBorder="1" applyAlignment="1">
      <alignment horizontal="left"/>
    </xf>
    <xf numFmtId="0" fontId="3" fillId="0" borderId="39" xfId="2" applyFont="1" applyFill="1" applyBorder="1"/>
    <xf numFmtId="0" fontId="1" fillId="0" borderId="39" xfId="1" applyFont="1" applyFill="1" applyBorder="1"/>
    <xf numFmtId="0" fontId="3" fillId="0" borderId="51" xfId="2" applyFont="1" applyBorder="1"/>
    <xf numFmtId="0" fontId="0" fillId="0" borderId="51" xfId="0" applyFont="1" applyBorder="1"/>
    <xf numFmtId="0" fontId="0" fillId="2" borderId="19" xfId="0" applyFont="1" applyFill="1" applyBorder="1"/>
    <xf numFmtId="0" fontId="0" fillId="0" borderId="39" xfId="0" applyFill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15" xfId="0" applyBorder="1"/>
    <xf numFmtId="164" fontId="0" fillId="0" borderId="52" xfId="0" applyNumberFormat="1" applyFont="1" applyFill="1" applyBorder="1"/>
    <xf numFmtId="0" fontId="0" fillId="0" borderId="19" xfId="0" applyFont="1" applyFill="1" applyBorder="1"/>
    <xf numFmtId="0" fontId="0" fillId="0" borderId="19" xfId="0" applyFont="1" applyFill="1" applyBorder="1" applyAlignment="1">
      <alignment horizontal="left"/>
    </xf>
    <xf numFmtId="0" fontId="0" fillId="0" borderId="39" xfId="0" quotePrefix="1" applyBorder="1" applyAlignment="1">
      <alignment vertical="center"/>
    </xf>
    <xf numFmtId="0" fontId="0" fillId="0" borderId="38" xfId="0" quotePrefix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38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41" xfId="0" applyBorder="1" applyAlignment="1">
      <alignment vertical="center"/>
    </xf>
    <xf numFmtId="0" fontId="0" fillId="0" borderId="52" xfId="0" applyBorder="1"/>
    <xf numFmtId="0" fontId="0" fillId="0" borderId="22" xfId="0" quotePrefix="1" applyBorder="1" applyAlignment="1">
      <alignment vertical="center"/>
    </xf>
    <xf numFmtId="0" fontId="0" fillId="0" borderId="25" xfId="0" quotePrefix="1" applyBorder="1" applyAlignment="1">
      <alignment vertical="center"/>
    </xf>
    <xf numFmtId="0" fontId="0" fillId="0" borderId="22" xfId="0" applyBorder="1"/>
    <xf numFmtId="0" fontId="3" fillId="2" borderId="52" xfId="2" applyFont="1" applyFill="1" applyBorder="1" applyAlignment="1">
      <alignment horizontal="center" vertical="center"/>
    </xf>
    <xf numFmtId="0" fontId="3" fillId="0" borderId="51" xfId="2" applyFont="1" applyFill="1" applyBorder="1" applyAlignment="1">
      <alignment vertical="center"/>
    </xf>
    <xf numFmtId="0" fontId="0" fillId="0" borderId="39" xfId="0" applyFont="1" applyBorder="1" applyAlignment="1">
      <alignment horizontal="left" vertical="center"/>
    </xf>
    <xf numFmtId="0" fontId="25" fillId="0" borderId="0" xfId="0" applyFont="1" applyBorder="1" applyAlignment="1">
      <alignment horizontal="center" vertical="center" textRotation="90"/>
    </xf>
    <xf numFmtId="0" fontId="0" fillId="0" borderId="39" xfId="0" applyFont="1" applyBorder="1" applyAlignment="1">
      <alignment vertical="center"/>
    </xf>
    <xf numFmtId="0" fontId="0" fillId="0" borderId="11" xfId="0" applyFont="1" applyBorder="1" applyAlignment="1">
      <alignment vertical="center"/>
    </xf>
    <xf numFmtId="0" fontId="0" fillId="0" borderId="41" xfId="0" applyFont="1" applyBorder="1" applyAlignment="1">
      <alignment vertical="center"/>
    </xf>
    <xf numFmtId="0" fontId="0" fillId="0" borderId="22" xfId="0" applyFont="1" applyBorder="1" applyAlignment="1">
      <alignment vertical="center"/>
    </xf>
    <xf numFmtId="0" fontId="0" fillId="0" borderId="25" xfId="0" applyFont="1" applyBorder="1" applyAlignment="1">
      <alignment vertical="center"/>
    </xf>
    <xf numFmtId="0" fontId="3" fillId="0" borderId="26" xfId="2" applyFont="1" applyFill="1" applyBorder="1"/>
    <xf numFmtId="0" fontId="11" fillId="0" borderId="29" xfId="0" applyFont="1" applyFill="1" applyBorder="1"/>
    <xf numFmtId="0" fontId="11" fillId="0" borderId="14" xfId="0" applyFont="1" applyFill="1" applyBorder="1"/>
    <xf numFmtId="0" fontId="11" fillId="0" borderId="23" xfId="0" applyFont="1" applyFill="1" applyBorder="1"/>
    <xf numFmtId="0" fontId="4" fillId="0" borderId="0" xfId="2" applyFont="1" applyFill="1" applyBorder="1" applyAlignment="1">
      <alignment horizontal="right"/>
    </xf>
    <xf numFmtId="0" fontId="4" fillId="0" borderId="24" xfId="2" applyFont="1" applyFill="1" applyBorder="1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24" xfId="0" applyFill="1" applyBorder="1" applyAlignment="1">
      <alignment vertical="center"/>
    </xf>
    <xf numFmtId="0" fontId="11" fillId="0" borderId="0" xfId="0" applyFont="1" applyFill="1" applyBorder="1"/>
    <xf numFmtId="0" fontId="11" fillId="0" borderId="24" xfId="0" applyFont="1" applyFill="1" applyBorder="1"/>
    <xf numFmtId="0" fontId="0" fillId="0" borderId="13" xfId="0" applyFill="1" applyBorder="1"/>
    <xf numFmtId="0" fontId="3" fillId="0" borderId="20" xfId="2" applyFont="1" applyFill="1" applyBorder="1" applyAlignment="1"/>
    <xf numFmtId="0" fontId="16" fillId="0" borderId="0" xfId="1" applyFont="1" applyFill="1" applyBorder="1"/>
    <xf numFmtId="0" fontId="3" fillId="0" borderId="19" xfId="2" applyFont="1" applyBorder="1" applyAlignment="1">
      <alignment horizontal="left"/>
    </xf>
    <xf numFmtId="0" fontId="9" fillId="0" borderId="0" xfId="0" applyFont="1" applyBorder="1"/>
    <xf numFmtId="0" fontId="0" fillId="0" borderId="36" xfId="0" applyFont="1" applyBorder="1"/>
    <xf numFmtId="0" fontId="0" fillId="0" borderId="38" xfId="0" applyFont="1" applyFill="1" applyBorder="1"/>
    <xf numFmtId="0" fontId="0" fillId="0" borderId="38" xfId="0" applyFont="1" applyBorder="1"/>
    <xf numFmtId="0" fontId="0" fillId="0" borderId="41" xfId="0" applyFont="1" applyBorder="1"/>
    <xf numFmtId="0" fontId="0" fillId="2" borderId="11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11" fillId="0" borderId="46" xfId="0" applyFont="1" applyFill="1" applyBorder="1"/>
    <xf numFmtId="0" fontId="1" fillId="0" borderId="51" xfId="1" applyFont="1" applyBorder="1"/>
    <xf numFmtId="0" fontId="3" fillId="0" borderId="52" xfId="2" applyFont="1" applyBorder="1" applyAlignment="1">
      <alignment horizontal="center"/>
    </xf>
    <xf numFmtId="0" fontId="3" fillId="0" borderId="52" xfId="2" applyFont="1" applyBorder="1"/>
    <xf numFmtId="0" fontId="1" fillId="0" borderId="0" xfId="1" applyFont="1" applyBorder="1"/>
    <xf numFmtId="0" fontId="1" fillId="0" borderId="15" xfId="1" applyFont="1" applyFill="1" applyBorder="1"/>
    <xf numFmtId="0" fontId="1" fillId="0" borderId="0" xfId="1" applyFont="1" applyFill="1" applyBorder="1" applyAlignment="1">
      <alignment horizontal="left"/>
    </xf>
    <xf numFmtId="0" fontId="1" fillId="0" borderId="16" xfId="1" applyFont="1" applyFill="1" applyBorder="1" applyAlignment="1">
      <alignment horizontal="left"/>
    </xf>
    <xf numFmtId="0" fontId="3" fillId="0" borderId="51" xfId="2" applyFont="1" applyFill="1" applyBorder="1"/>
    <xf numFmtId="0" fontId="3" fillId="0" borderId="52" xfId="2" applyFont="1" applyBorder="1" applyAlignment="1">
      <alignment vertical="center"/>
    </xf>
    <xf numFmtId="0" fontId="3" fillId="0" borderId="52" xfId="2" applyFont="1" applyBorder="1" applyAlignment="1">
      <alignment horizontal="center" vertical="center"/>
    </xf>
    <xf numFmtId="0" fontId="3" fillId="0" borderId="51" xfId="2" applyFont="1" applyBorder="1" applyAlignment="1">
      <alignment vertical="center"/>
    </xf>
    <xf numFmtId="0" fontId="1" fillId="0" borderId="50" xfId="1" applyFont="1" applyFill="1" applyBorder="1" applyAlignment="1">
      <alignment horizontal="left"/>
    </xf>
    <xf numFmtId="0" fontId="3" fillId="0" borderId="0" xfId="2" applyFont="1" applyFill="1" applyBorder="1" applyAlignment="1">
      <alignment horizontal="left" vertical="center"/>
    </xf>
    <xf numFmtId="0" fontId="0" fillId="0" borderId="51" xfId="0" applyFill="1" applyBorder="1"/>
    <xf numFmtId="0" fontId="16" fillId="0" borderId="52" xfId="0" applyFont="1" applyFill="1" applyBorder="1"/>
    <xf numFmtId="0" fontId="0" fillId="0" borderId="0" xfId="0" applyFont="1" applyFill="1" applyBorder="1" applyAlignment="1">
      <alignment horizontal="left"/>
    </xf>
    <xf numFmtId="0" fontId="1" fillId="0" borderId="0" xfId="1" applyFont="1" applyFill="1" applyBorder="1"/>
    <xf numFmtId="0" fontId="1" fillId="0" borderId="0" xfId="1" applyFill="1"/>
    <xf numFmtId="0" fontId="11" fillId="2" borderId="23" xfId="0" applyFont="1" applyFill="1" applyBorder="1"/>
    <xf numFmtId="0" fontId="0" fillId="2" borderId="24" xfId="0" applyFont="1" applyFill="1" applyBorder="1" applyAlignment="1">
      <alignment horizontal="center"/>
    </xf>
    <xf numFmtId="0" fontId="0" fillId="0" borderId="3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9" xfId="0" applyFont="1" applyBorder="1" applyAlignment="1">
      <alignment horizontal="center" vertical="center"/>
    </xf>
    <xf numFmtId="0" fontId="3" fillId="0" borderId="39" xfId="2" applyFont="1" applyFill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3" fillId="0" borderId="54" xfId="2" applyFont="1" applyBorder="1" applyAlignment="1">
      <alignment wrapText="1"/>
    </xf>
    <xf numFmtId="0" fontId="3" fillId="0" borderId="42" xfId="2" applyFont="1" applyFill="1" applyBorder="1" applyAlignment="1">
      <alignment horizontal="left"/>
    </xf>
    <xf numFmtId="0" fontId="3" fillId="0" borderId="54" xfId="2" applyFont="1" applyFill="1" applyBorder="1" applyAlignment="1">
      <alignment horizontal="left"/>
    </xf>
    <xf numFmtId="0" fontId="3" fillId="0" borderId="15" xfId="2" applyFont="1" applyFill="1" applyBorder="1" applyAlignment="1">
      <alignment horizontal="left"/>
    </xf>
    <xf numFmtId="0" fontId="3" fillId="2" borderId="42" xfId="2" applyFont="1" applyFill="1" applyBorder="1" applyAlignment="1">
      <alignment horizontal="left"/>
    </xf>
    <xf numFmtId="0" fontId="3" fillId="0" borderId="50" xfId="2" applyFont="1" applyBorder="1" applyAlignment="1">
      <alignment wrapText="1"/>
    </xf>
    <xf numFmtId="0" fontId="3" fillId="0" borderId="54" xfId="2" applyFont="1" applyFill="1" applyBorder="1" applyAlignment="1">
      <alignment vertical="center"/>
    </xf>
    <xf numFmtId="0" fontId="3" fillId="0" borderId="15" xfId="2" applyFont="1" applyFill="1" applyBorder="1" applyAlignment="1">
      <alignment vertical="center"/>
    </xf>
    <xf numFmtId="0" fontId="3" fillId="0" borderId="49" xfId="2" applyFont="1" applyFill="1" applyBorder="1" applyAlignment="1">
      <alignment horizontal="left"/>
    </xf>
    <xf numFmtId="0" fontId="0" fillId="0" borderId="54" xfId="0" applyFont="1" applyBorder="1"/>
    <xf numFmtId="0" fontId="3" fillId="0" borderId="54" xfId="2" applyFont="1" applyBorder="1" applyAlignment="1">
      <alignment vertical="center"/>
    </xf>
    <xf numFmtId="0" fontId="1" fillId="0" borderId="49" xfId="1" applyFont="1" applyFill="1" applyBorder="1"/>
    <xf numFmtId="0" fontId="0" fillId="0" borderId="15" xfId="0" applyFont="1" applyBorder="1"/>
    <xf numFmtId="0" fontId="3" fillId="2" borderId="15" xfId="2" applyFont="1" applyFill="1" applyBorder="1" applyAlignment="1">
      <alignment vertical="center"/>
    </xf>
    <xf numFmtId="0" fontId="0" fillId="0" borderId="15" xfId="0" applyFont="1" applyFill="1" applyBorder="1"/>
    <xf numFmtId="0" fontId="1" fillId="0" borderId="54" xfId="1" applyFont="1" applyBorder="1"/>
    <xf numFmtId="0" fontId="3" fillId="0" borderId="15" xfId="2" applyFont="1" applyFill="1" applyBorder="1"/>
    <xf numFmtId="0" fontId="3" fillId="0" borderId="54" xfId="2" applyFont="1" applyBorder="1"/>
    <xf numFmtId="0" fontId="16" fillId="0" borderId="15" xfId="1" applyFont="1" applyFill="1" applyBorder="1"/>
    <xf numFmtId="0" fontId="3" fillId="0" borderId="42" xfId="2" applyFont="1" applyBorder="1" applyAlignment="1">
      <alignment vertical="center"/>
    </xf>
    <xf numFmtId="0" fontId="3" fillId="0" borderId="15" xfId="2" applyFont="1" applyBorder="1"/>
    <xf numFmtId="0" fontId="3" fillId="2" borderId="24" xfId="2" applyFont="1" applyFill="1" applyBorder="1" applyAlignment="1">
      <alignment horizontal="left"/>
    </xf>
    <xf numFmtId="0" fontId="0" fillId="0" borderId="49" xfId="0" applyFont="1" applyBorder="1"/>
    <xf numFmtId="0" fontId="0" fillId="0" borderId="15" xfId="0" applyFont="1" applyBorder="1" applyAlignment="1">
      <alignment vertical="center"/>
    </xf>
    <xf numFmtId="0" fontId="0" fillId="0" borderId="49" xfId="0" applyFont="1" applyBorder="1" applyAlignment="1">
      <alignment vertical="center"/>
    </xf>
    <xf numFmtId="0" fontId="3" fillId="0" borderId="50" xfId="2" applyFont="1" applyFill="1" applyBorder="1" applyAlignment="1">
      <alignment vertical="center"/>
    </xf>
    <xf numFmtId="0" fontId="3" fillId="0" borderId="39" xfId="2" applyFont="1" applyFill="1" applyBorder="1" applyAlignment="1">
      <alignment vertical="center"/>
    </xf>
    <xf numFmtId="0" fontId="3" fillId="0" borderId="11" xfId="2" applyFont="1" applyFill="1" applyBorder="1" applyAlignment="1">
      <alignment horizontal="left"/>
    </xf>
    <xf numFmtId="0" fontId="3" fillId="0" borderId="50" xfId="2" applyFont="1" applyBorder="1" applyAlignment="1">
      <alignment vertical="center"/>
    </xf>
    <xf numFmtId="0" fontId="1" fillId="0" borderId="11" xfId="1" applyFont="1" applyFill="1" applyBorder="1"/>
    <xf numFmtId="0" fontId="3" fillId="2" borderId="39" xfId="2" applyFont="1" applyFill="1" applyBorder="1" applyAlignment="1">
      <alignment vertical="center"/>
    </xf>
    <xf numFmtId="0" fontId="0" fillId="0" borderId="39" xfId="0" applyFont="1" applyFill="1" applyBorder="1"/>
    <xf numFmtId="0" fontId="3" fillId="0" borderId="50" xfId="2" applyFont="1" applyBorder="1"/>
    <xf numFmtId="0" fontId="16" fillId="0" borderId="39" xfId="1" applyFont="1" applyFill="1" applyBorder="1"/>
    <xf numFmtId="0" fontId="3" fillId="0" borderId="19" xfId="2" applyFont="1" applyBorder="1" applyAlignment="1">
      <alignment vertical="center"/>
    </xf>
    <xf numFmtId="0" fontId="3" fillId="0" borderId="39" xfId="2" applyFont="1" applyBorder="1"/>
    <xf numFmtId="0" fontId="0" fillId="0" borderId="26" xfId="0" applyFont="1" applyBorder="1" applyAlignment="1">
      <alignment vertical="center"/>
    </xf>
    <xf numFmtId="0" fontId="0" fillId="0" borderId="49" xfId="0" applyFont="1" applyFill="1" applyBorder="1"/>
    <xf numFmtId="0" fontId="0" fillId="0" borderId="11" xfId="0" applyFont="1" applyFill="1" applyBorder="1"/>
    <xf numFmtId="0" fontId="0" fillId="0" borderId="11" xfId="0" applyFont="1" applyFill="1" applyBorder="1" applyAlignment="1">
      <alignment horizontal="left"/>
    </xf>
    <xf numFmtId="0" fontId="0" fillId="0" borderId="41" xfId="0" applyFont="1" applyFill="1" applyBorder="1" applyAlignment="1">
      <alignment horizontal="left"/>
    </xf>
    <xf numFmtId="0" fontId="3" fillId="0" borderId="49" xfId="2" applyFont="1" applyFill="1" applyBorder="1"/>
    <xf numFmtId="0" fontId="3" fillId="0" borderId="11" xfId="2" applyFont="1" applyFill="1" applyBorder="1"/>
    <xf numFmtId="0" fontId="3" fillId="0" borderId="41" xfId="2" applyFont="1" applyFill="1" applyBorder="1" applyAlignment="1">
      <alignment horizontal="left"/>
    </xf>
    <xf numFmtId="0" fontId="0" fillId="0" borderId="54" xfId="0" applyFont="1" applyFill="1" applyBorder="1"/>
    <xf numFmtId="0" fontId="0" fillId="0" borderId="50" xfId="0" applyFont="1" applyFill="1" applyBorder="1"/>
    <xf numFmtId="0" fontId="1" fillId="0" borderId="54" xfId="1" applyFont="1" applyFill="1" applyBorder="1"/>
    <xf numFmtId="0" fontId="1" fillId="0" borderId="50" xfId="1" applyFont="1" applyFill="1" applyBorder="1"/>
    <xf numFmtId="0" fontId="0" fillId="0" borderId="12" xfId="0" applyFont="1" applyFill="1" applyBorder="1" applyAlignment="1">
      <alignment horizontal="left"/>
    </xf>
    <xf numFmtId="0" fontId="18" fillId="0" borderId="46" xfId="0" applyFont="1" applyBorder="1"/>
    <xf numFmtId="20" fontId="0" fillId="0" borderId="46" xfId="0" applyNumberFormat="1" applyFont="1" applyBorder="1" applyAlignment="1">
      <alignment wrapText="1"/>
    </xf>
    <xf numFmtId="0" fontId="19" fillId="0" borderId="46" xfId="0" applyFont="1" applyBorder="1" applyAlignment="1">
      <alignment wrapText="1"/>
    </xf>
    <xf numFmtId="20" fontId="0" fillId="0" borderId="46" xfId="0" applyNumberFormat="1" applyBorder="1"/>
    <xf numFmtId="0" fontId="0" fillId="0" borderId="54" xfId="0" applyBorder="1"/>
    <xf numFmtId="0" fontId="0" fillId="0" borderId="49" xfId="0" applyFill="1" applyBorder="1"/>
    <xf numFmtId="0" fontId="0" fillId="2" borderId="15" xfId="0" applyFill="1" applyBorder="1"/>
    <xf numFmtId="0" fontId="0" fillId="0" borderId="42" xfId="0" applyFill="1" applyBorder="1"/>
    <xf numFmtId="0" fontId="3" fillId="0" borderId="49" xfId="2" applyFont="1" applyBorder="1"/>
    <xf numFmtId="0" fontId="0" fillId="0" borderId="49" xfId="0" applyBorder="1"/>
    <xf numFmtId="0" fontId="3" fillId="0" borderId="11" xfId="2" applyFont="1" applyBorder="1"/>
    <xf numFmtId="0" fontId="0" fillId="0" borderId="42" xfId="0" applyBorder="1"/>
    <xf numFmtId="0" fontId="0" fillId="2" borderId="54" xfId="0" applyFill="1" applyBorder="1"/>
    <xf numFmtId="0" fontId="0" fillId="2" borderId="49" xfId="0" applyFill="1" applyBorder="1"/>
    <xf numFmtId="0" fontId="0" fillId="0" borderId="5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55" xfId="0" applyBorder="1"/>
    <xf numFmtId="0" fontId="0" fillId="0" borderId="15" xfId="0" applyBorder="1" applyAlignment="1">
      <alignment vertical="center"/>
    </xf>
    <xf numFmtId="0" fontId="0" fillId="0" borderId="49" xfId="0" applyBorder="1" applyAlignment="1">
      <alignment vertical="center"/>
    </xf>
    <xf numFmtId="0" fontId="0" fillId="2" borderId="26" xfId="0" applyFill="1" applyBorder="1"/>
    <xf numFmtId="0" fontId="0" fillId="0" borderId="46" xfId="0" applyFill="1" applyBorder="1" applyAlignment="1">
      <alignment horizontal="center"/>
    </xf>
    <xf numFmtId="0" fontId="0" fillId="0" borderId="39" xfId="0" applyFill="1" applyBorder="1" applyAlignment="1">
      <alignment horizontal="left"/>
    </xf>
    <xf numFmtId="0" fontId="0" fillId="0" borderId="39" xfId="0" applyFont="1" applyBorder="1" applyAlignment="1">
      <alignment horizontal="center"/>
    </xf>
    <xf numFmtId="0" fontId="3" fillId="0" borderId="50" xfId="2" applyFont="1" applyBorder="1" applyAlignment="1">
      <alignment horizontal="center" wrapText="1"/>
    </xf>
    <xf numFmtId="0" fontId="3" fillId="0" borderId="39" xfId="2" applyFon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3" fillId="0" borderId="39" xfId="2" applyFont="1" applyBorder="1" applyAlignment="1">
      <alignment horizontal="center"/>
    </xf>
    <xf numFmtId="0" fontId="3" fillId="0" borderId="11" xfId="2" applyFont="1" applyBorder="1" applyAlignment="1">
      <alignment horizontal="center"/>
    </xf>
    <xf numFmtId="0" fontId="3" fillId="0" borderId="50" xfId="2" applyFont="1" applyBorder="1" applyAlignment="1">
      <alignment horizontal="center"/>
    </xf>
    <xf numFmtId="0" fontId="0" fillId="2" borderId="50" xfId="0" applyFill="1" applyBorder="1" applyAlignment="1">
      <alignment horizontal="center"/>
    </xf>
    <xf numFmtId="0" fontId="0" fillId="0" borderId="50" xfId="0" applyFont="1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19" xfId="0" applyFont="1" applyBorder="1" applyAlignment="1">
      <alignment horizontal="center"/>
    </xf>
    <xf numFmtId="0" fontId="3" fillId="0" borderId="19" xfId="2" applyFont="1" applyFill="1" applyBorder="1" applyAlignment="1">
      <alignment horizontal="center"/>
    </xf>
    <xf numFmtId="0" fontId="3" fillId="0" borderId="50" xfId="2" applyFont="1" applyFill="1" applyBorder="1" applyAlignment="1">
      <alignment horizontal="center"/>
    </xf>
    <xf numFmtId="0" fontId="3" fillId="2" borderId="19" xfId="2" applyFont="1" applyFill="1" applyBorder="1" applyAlignment="1">
      <alignment horizontal="center"/>
    </xf>
    <xf numFmtId="0" fontId="3" fillId="0" borderId="52" xfId="2" applyFont="1" applyFill="1" applyBorder="1" applyAlignment="1">
      <alignment horizontal="center"/>
    </xf>
    <xf numFmtId="0" fontId="3" fillId="0" borderId="50" xfId="2" applyFont="1" applyFill="1" applyBorder="1" applyAlignment="1">
      <alignment horizontal="center" vertical="center"/>
    </xf>
    <xf numFmtId="0" fontId="3" fillId="0" borderId="11" xfId="2" applyFont="1" applyFill="1" applyBorder="1" applyAlignment="1">
      <alignment horizontal="center"/>
    </xf>
    <xf numFmtId="0" fontId="0" fillId="0" borderId="39" xfId="0" applyFont="1" applyFill="1" applyBorder="1" applyAlignment="1">
      <alignment horizontal="center"/>
    </xf>
    <xf numFmtId="0" fontId="0" fillId="0" borderId="11" xfId="0" applyFont="1" applyFill="1" applyBorder="1" applyAlignment="1">
      <alignment horizontal="center"/>
    </xf>
    <xf numFmtId="0" fontId="0" fillId="0" borderId="50" xfId="0" applyFont="1" applyFill="1" applyBorder="1" applyAlignment="1">
      <alignment horizontal="center"/>
    </xf>
    <xf numFmtId="0" fontId="3" fillId="0" borderId="50" xfId="2" applyFont="1" applyBorder="1" applyAlignment="1">
      <alignment horizontal="center" vertical="center"/>
    </xf>
    <xf numFmtId="0" fontId="1" fillId="0" borderId="39" xfId="1" applyFont="1" applyFill="1" applyBorder="1" applyAlignment="1">
      <alignment horizontal="center"/>
    </xf>
    <xf numFmtId="0" fontId="1" fillId="0" borderId="11" xfId="1" applyFont="1" applyFill="1" applyBorder="1" applyAlignment="1">
      <alignment horizontal="center"/>
    </xf>
    <xf numFmtId="0" fontId="1" fillId="0" borderId="0" xfId="1" applyFont="1" applyFill="1" applyBorder="1" applyAlignment="1">
      <alignment horizontal="center"/>
    </xf>
    <xf numFmtId="0" fontId="3" fillId="2" borderId="39" xfId="2" applyFont="1" applyFill="1" applyBorder="1" applyAlignment="1">
      <alignment horizontal="center" vertical="center"/>
    </xf>
    <xf numFmtId="0" fontId="1" fillId="0" borderId="50" xfId="1" applyFont="1" applyBorder="1" applyAlignment="1">
      <alignment horizontal="center"/>
    </xf>
    <xf numFmtId="0" fontId="3" fillId="2" borderId="27" xfId="2" applyFont="1" applyFill="1" applyBorder="1" applyAlignment="1">
      <alignment horizontal="center" wrapText="1"/>
    </xf>
    <xf numFmtId="0" fontId="16" fillId="0" borderId="39" xfId="1" applyFont="1" applyFill="1" applyBorder="1" applyAlignment="1">
      <alignment horizontal="center"/>
    </xf>
    <xf numFmtId="0" fontId="3" fillId="0" borderId="19" xfId="2" applyFont="1" applyBorder="1" applyAlignment="1">
      <alignment horizontal="center" vertical="center"/>
    </xf>
    <xf numFmtId="0" fontId="1" fillId="0" borderId="50" xfId="1" applyFont="1" applyFill="1" applyBorder="1" applyAlignment="1">
      <alignment horizontal="center"/>
    </xf>
    <xf numFmtId="0" fontId="3" fillId="2" borderId="24" xfId="2" applyFont="1" applyFill="1" applyBorder="1" applyAlignment="1">
      <alignment horizontal="center" vertical="center" wrapText="1"/>
    </xf>
    <xf numFmtId="0" fontId="3" fillId="0" borderId="27" xfId="2" applyFont="1" applyFill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3" fillId="2" borderId="27" xfId="2" applyFont="1" applyFill="1" applyBorder="1" applyAlignment="1">
      <alignment horizontal="center" vertical="center" wrapText="1"/>
    </xf>
    <xf numFmtId="0" fontId="0" fillId="0" borderId="27" xfId="0" applyFont="1" applyBorder="1" applyAlignment="1">
      <alignment horizontal="center" vertical="center"/>
    </xf>
    <xf numFmtId="0" fontId="0" fillId="2" borderId="19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3" fillId="0" borderId="56" xfId="2" applyFont="1" applyFill="1" applyBorder="1"/>
    <xf numFmtId="0" fontId="3" fillId="0" borderId="57" xfId="2" applyFont="1" applyFill="1" applyBorder="1"/>
    <xf numFmtId="0" fontId="3" fillId="0" borderId="58" xfId="2" applyFont="1" applyFill="1" applyBorder="1" applyAlignment="1">
      <alignment horizontal="center"/>
    </xf>
    <xf numFmtId="0" fontId="3" fillId="0" borderId="59" xfId="2" applyFont="1" applyBorder="1" applyAlignment="1">
      <alignment horizontal="center"/>
    </xf>
    <xf numFmtId="0" fontId="3" fillId="0" borderId="60" xfId="2" applyFont="1" applyBorder="1" applyAlignment="1">
      <alignment horizontal="center"/>
    </xf>
    <xf numFmtId="0" fontId="3" fillId="0" borderId="61" xfId="2" applyFont="1" applyBorder="1" applyAlignment="1">
      <alignment horizontal="center"/>
    </xf>
    <xf numFmtId="0" fontId="3" fillId="0" borderId="19" xfId="2" applyFont="1" applyBorder="1"/>
    <xf numFmtId="0" fontId="5" fillId="0" borderId="19" xfId="2" applyFont="1" applyBorder="1"/>
    <xf numFmtId="0" fontId="3" fillId="0" borderId="52" xfId="2" applyFont="1" applyFill="1" applyBorder="1"/>
    <xf numFmtId="0" fontId="8" fillId="0" borderId="22" xfId="0" applyFont="1" applyFill="1" applyBorder="1" applyAlignment="1">
      <alignment horizontal="center"/>
    </xf>
    <xf numFmtId="0" fontId="28" fillId="0" borderId="46" xfId="2" applyFont="1" applyFill="1" applyBorder="1" applyAlignment="1">
      <alignment horizontal="right"/>
    </xf>
    <xf numFmtId="0" fontId="28" fillId="0" borderId="23" xfId="2" applyFont="1" applyFill="1" applyBorder="1" applyAlignment="1">
      <alignment horizontal="right"/>
    </xf>
    <xf numFmtId="0" fontId="8" fillId="0" borderId="25" xfId="0" applyFont="1" applyFill="1" applyBorder="1" applyAlignment="1">
      <alignment horizontal="center"/>
    </xf>
    <xf numFmtId="0" fontId="0" fillId="0" borderId="36" xfId="0" quotePrefix="1" applyBorder="1" applyAlignment="1">
      <alignment horizontal="center" vertical="center"/>
    </xf>
    <xf numFmtId="0" fontId="0" fillId="0" borderId="38" xfId="0" quotePrefix="1" applyBorder="1" applyAlignment="1">
      <alignment horizontal="center" vertical="center"/>
    </xf>
    <xf numFmtId="0" fontId="0" fillId="0" borderId="41" xfId="0" quotePrefix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50" xfId="0" quotePrefix="1" applyBorder="1" applyAlignment="1">
      <alignment horizontal="left" vertical="center"/>
    </xf>
    <xf numFmtId="0" fontId="0" fillId="0" borderId="39" xfId="0" quotePrefix="1" applyBorder="1" applyAlignment="1">
      <alignment horizontal="left" vertical="center"/>
    </xf>
    <xf numFmtId="0" fontId="0" fillId="0" borderId="11" xfId="0" quotePrefix="1" applyBorder="1" applyAlignment="1">
      <alignment horizontal="left" vertical="center"/>
    </xf>
    <xf numFmtId="0" fontId="0" fillId="0" borderId="2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8" xfId="0" quotePrefix="1" applyBorder="1" applyAlignment="1">
      <alignment horizontal="left" vertical="center"/>
    </xf>
    <xf numFmtId="0" fontId="3" fillId="0" borderId="25" xfId="2" applyFont="1" applyFill="1" applyBorder="1" applyAlignment="1">
      <alignment horizontal="center"/>
    </xf>
    <xf numFmtId="0" fontId="3" fillId="0" borderId="11" xfId="2" applyFont="1" applyFill="1" applyBorder="1" applyAlignment="1">
      <alignment horizontal="center"/>
    </xf>
    <xf numFmtId="0" fontId="3" fillId="0" borderId="23" xfId="2" applyFont="1" applyFill="1" applyBorder="1" applyAlignment="1">
      <alignment horizontal="center"/>
    </xf>
    <xf numFmtId="0" fontId="10" fillId="0" borderId="50" xfId="0" applyFont="1" applyBorder="1" applyAlignment="1">
      <alignment horizontal="center" vertical="center" textRotation="90"/>
    </xf>
    <xf numFmtId="0" fontId="10" fillId="0" borderId="39" xfId="0" applyFont="1" applyBorder="1" applyAlignment="1">
      <alignment horizontal="center" vertical="center" textRotation="90"/>
    </xf>
    <xf numFmtId="0" fontId="10" fillId="0" borderId="11" xfId="0" applyFont="1" applyBorder="1" applyAlignment="1">
      <alignment horizontal="center" vertical="center" textRotation="90"/>
    </xf>
    <xf numFmtId="0" fontId="12" fillId="0" borderId="5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0" fillId="0" borderId="29" xfId="0" quotePrefix="1" applyBorder="1" applyAlignment="1">
      <alignment horizontal="left" vertical="center"/>
    </xf>
    <xf numFmtId="0" fontId="0" fillId="0" borderId="23" xfId="0" quotePrefix="1" applyBorder="1" applyAlignment="1">
      <alignment horizontal="left" vertical="center"/>
    </xf>
    <xf numFmtId="0" fontId="15" fillId="0" borderId="12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50" xfId="0" applyFont="1" applyBorder="1" applyAlignment="1">
      <alignment horizontal="center" vertical="center" wrapText="1"/>
    </xf>
    <xf numFmtId="0" fontId="15" fillId="0" borderId="39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/>
    </xf>
    <xf numFmtId="0" fontId="15" fillId="0" borderId="46" xfId="0" applyFont="1" applyBorder="1" applyAlignment="1">
      <alignment horizontal="center" vertical="center"/>
    </xf>
    <xf numFmtId="0" fontId="15" fillId="0" borderId="39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 textRotation="90"/>
    </xf>
    <xf numFmtId="0" fontId="10" fillId="0" borderId="10" xfId="0" applyFont="1" applyBorder="1" applyAlignment="1">
      <alignment horizontal="center" vertical="center" textRotation="90"/>
    </xf>
    <xf numFmtId="0" fontId="9" fillId="0" borderId="12" xfId="0" applyFont="1" applyBorder="1" applyAlignment="1">
      <alignment horizontal="center" vertical="center" textRotation="90"/>
    </xf>
    <xf numFmtId="0" fontId="9" fillId="0" borderId="10" xfId="0" applyFont="1" applyBorder="1" applyAlignment="1">
      <alignment horizontal="center" vertical="center" textRotation="90"/>
    </xf>
    <xf numFmtId="0" fontId="9" fillId="0" borderId="39" xfId="0" applyFont="1" applyBorder="1" applyAlignment="1">
      <alignment horizontal="center" vertical="center" textRotation="90"/>
    </xf>
    <xf numFmtId="0" fontId="9" fillId="0" borderId="11" xfId="0" applyFont="1" applyBorder="1" applyAlignment="1">
      <alignment horizontal="center" vertical="center" textRotation="90"/>
    </xf>
    <xf numFmtId="0" fontId="20" fillId="0" borderId="12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0" fillId="0" borderId="0" xfId="0" applyFont="1" applyBorder="1" applyAlignment="1">
      <alignment horizontal="left" vertical="center"/>
    </xf>
    <xf numFmtId="0" fontId="0" fillId="0" borderId="24" xfId="0" applyFont="1" applyBorder="1" applyAlignment="1">
      <alignment horizontal="left" vertical="center"/>
    </xf>
    <xf numFmtId="0" fontId="0" fillId="0" borderId="46" xfId="0" applyFont="1" applyBorder="1" applyAlignment="1">
      <alignment horizontal="left" vertical="center"/>
    </xf>
    <xf numFmtId="0" fontId="0" fillId="0" borderId="15" xfId="0" applyFont="1" applyBorder="1" applyAlignment="1">
      <alignment horizontal="left" vertical="center"/>
    </xf>
    <xf numFmtId="0" fontId="0" fillId="0" borderId="38" xfId="0" applyFont="1" applyBorder="1" applyAlignment="1">
      <alignment horizontal="left" vertical="center"/>
    </xf>
    <xf numFmtId="0" fontId="0" fillId="0" borderId="39" xfId="0" applyFont="1" applyBorder="1" applyAlignment="1">
      <alignment horizontal="center" vertical="center"/>
    </xf>
    <xf numFmtId="0" fontId="0" fillId="0" borderId="39" xfId="0" applyFont="1" applyBorder="1" applyAlignment="1">
      <alignment horizontal="left" vertical="center"/>
    </xf>
    <xf numFmtId="0" fontId="3" fillId="0" borderId="38" xfId="2" applyFont="1" applyFill="1" applyBorder="1" applyAlignment="1">
      <alignment horizontal="center" vertical="center"/>
    </xf>
    <xf numFmtId="0" fontId="3" fillId="0" borderId="41" xfId="2" applyFont="1" applyFill="1" applyBorder="1" applyAlignment="1">
      <alignment horizontal="center" vertical="center"/>
    </xf>
    <xf numFmtId="0" fontId="3" fillId="0" borderId="46" xfId="2" applyFont="1" applyFill="1" applyBorder="1" applyAlignment="1">
      <alignment horizontal="center" vertical="center"/>
    </xf>
    <xf numFmtId="0" fontId="3" fillId="0" borderId="23" xfId="2" applyFont="1" applyFill="1" applyBorder="1" applyAlignment="1">
      <alignment horizontal="center" vertical="center"/>
    </xf>
    <xf numFmtId="0" fontId="23" fillId="0" borderId="50" xfId="0" applyFont="1" applyBorder="1" applyAlignment="1">
      <alignment horizontal="center" vertical="center" textRotation="90"/>
    </xf>
    <xf numFmtId="0" fontId="23" fillId="0" borderId="39" xfId="0" applyFont="1" applyBorder="1" applyAlignment="1">
      <alignment horizontal="center" vertical="center" textRotation="90"/>
    </xf>
    <xf numFmtId="0" fontId="23" fillId="0" borderId="11" xfId="0" applyFont="1" applyBorder="1" applyAlignment="1">
      <alignment horizontal="center" vertical="center" textRotation="90"/>
    </xf>
    <xf numFmtId="0" fontId="3" fillId="0" borderId="0" xfId="2" applyFont="1" applyBorder="1" applyAlignment="1">
      <alignment horizontal="left" vertical="center"/>
    </xf>
    <xf numFmtId="0" fontId="0" fillId="0" borderId="11" xfId="0" applyFont="1" applyBorder="1" applyAlignment="1">
      <alignment horizontal="left" vertical="center"/>
    </xf>
    <xf numFmtId="0" fontId="0" fillId="0" borderId="41" xfId="0" applyFont="1" applyBorder="1" applyAlignment="1">
      <alignment horizontal="left" vertical="center"/>
    </xf>
    <xf numFmtId="0" fontId="3" fillId="0" borderId="24" xfId="2" applyFont="1" applyBorder="1" applyAlignment="1">
      <alignment horizontal="left" vertical="center"/>
    </xf>
    <xf numFmtId="0" fontId="0" fillId="0" borderId="23" xfId="0" applyFont="1" applyBorder="1" applyAlignment="1">
      <alignment horizontal="left" vertical="center"/>
    </xf>
    <xf numFmtId="0" fontId="7" fillId="0" borderId="32" xfId="2" applyFont="1" applyFill="1" applyBorder="1" applyAlignment="1">
      <alignment horizontal="center"/>
    </xf>
    <xf numFmtId="0" fontId="7" fillId="0" borderId="53" xfId="2" applyFont="1" applyFill="1" applyBorder="1" applyAlignment="1">
      <alignment horizontal="center"/>
    </xf>
    <xf numFmtId="0" fontId="7" fillId="0" borderId="33" xfId="2" applyFont="1" applyFill="1" applyBorder="1" applyAlignment="1">
      <alignment horizontal="center"/>
    </xf>
    <xf numFmtId="0" fontId="7" fillId="0" borderId="34" xfId="2" applyFont="1" applyFill="1" applyBorder="1" applyAlignment="1">
      <alignment horizontal="center"/>
    </xf>
    <xf numFmtId="0" fontId="23" fillId="0" borderId="12" xfId="0" applyFont="1" applyBorder="1" applyAlignment="1">
      <alignment horizontal="center" vertical="center" textRotation="90"/>
    </xf>
    <xf numFmtId="0" fontId="23" fillId="0" borderId="10" xfId="0" applyFont="1" applyBorder="1" applyAlignment="1">
      <alignment horizontal="center" vertical="center" textRotation="90"/>
    </xf>
    <xf numFmtId="0" fontId="22" fillId="0" borderId="12" xfId="0" applyFont="1" applyBorder="1" applyAlignment="1">
      <alignment horizontal="center" vertical="center" textRotation="90"/>
    </xf>
    <xf numFmtId="0" fontId="22" fillId="0" borderId="10" xfId="0" applyFont="1" applyBorder="1" applyAlignment="1">
      <alignment horizontal="center" vertical="center" textRotation="90"/>
    </xf>
    <xf numFmtId="0" fontId="22" fillId="0" borderId="11" xfId="0" applyFont="1" applyBorder="1" applyAlignment="1">
      <alignment horizontal="center" vertical="center" textRotation="90"/>
    </xf>
    <xf numFmtId="0" fontId="0" fillId="0" borderId="46" xfId="0" applyFont="1" applyBorder="1" applyAlignment="1">
      <alignment horizontal="center" vertical="center"/>
    </xf>
    <xf numFmtId="0" fontId="0" fillId="0" borderId="23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49" xfId="0" applyFont="1" applyBorder="1" applyAlignment="1">
      <alignment horizontal="left" vertical="center"/>
    </xf>
    <xf numFmtId="0" fontId="0" fillId="0" borderId="46" xfId="0" applyFont="1" applyBorder="1" applyAlignment="1">
      <alignment horizontal="center"/>
    </xf>
    <xf numFmtId="0" fontId="0" fillId="0" borderId="23" xfId="0" applyFont="1" applyBorder="1" applyAlignment="1">
      <alignment horizontal="center"/>
    </xf>
    <xf numFmtId="0" fontId="13" fillId="0" borderId="12" xfId="2" applyFont="1" applyBorder="1" applyAlignment="1">
      <alignment horizontal="center" vertical="center" textRotation="90"/>
    </xf>
    <xf numFmtId="0" fontId="13" fillId="0" borderId="10" xfId="2" applyFont="1" applyBorder="1" applyAlignment="1">
      <alignment horizontal="center" vertical="center" textRotation="90"/>
    </xf>
    <xf numFmtId="0" fontId="13" fillId="0" borderId="39" xfId="2" applyFont="1" applyBorder="1" applyAlignment="1">
      <alignment horizontal="center" vertical="center" textRotation="90"/>
    </xf>
    <xf numFmtId="0" fontId="13" fillId="0" borderId="11" xfId="2" applyFont="1" applyBorder="1" applyAlignment="1">
      <alignment horizontal="center" vertical="center" textRotation="90"/>
    </xf>
    <xf numFmtId="0" fontId="3" fillId="0" borderId="39" xfId="2" applyFont="1" applyFill="1" applyBorder="1" applyAlignment="1">
      <alignment horizontal="left" vertical="center" wrapText="1"/>
    </xf>
    <xf numFmtId="0" fontId="22" fillId="0" borderId="39" xfId="0" applyFont="1" applyBorder="1" applyAlignment="1">
      <alignment horizontal="center" vertical="center" textRotation="90"/>
    </xf>
    <xf numFmtId="0" fontId="3" fillId="0" borderId="0" xfId="2" applyFont="1" applyBorder="1" applyAlignment="1">
      <alignment horizontal="center" vertical="center" wrapText="1"/>
    </xf>
    <xf numFmtId="0" fontId="9" fillId="0" borderId="50" xfId="0" applyFont="1" applyBorder="1" applyAlignment="1">
      <alignment horizontal="center" vertical="center" textRotation="90"/>
    </xf>
    <xf numFmtId="0" fontId="8" fillId="0" borderId="0" xfId="2" applyFont="1" applyFill="1" applyAlignment="1">
      <alignment horizontal="left"/>
    </xf>
    <xf numFmtId="0" fontId="20" fillId="0" borderId="10" xfId="0" applyFont="1" applyBorder="1" applyAlignment="1">
      <alignment horizontal="center" vertical="center"/>
    </xf>
    <xf numFmtId="0" fontId="16" fillId="0" borderId="39" xfId="1" applyFont="1" applyBorder="1" applyAlignment="1">
      <alignment horizontal="center" vertical="center"/>
    </xf>
    <xf numFmtId="0" fontId="16" fillId="0" borderId="11" xfId="1" applyFont="1" applyBorder="1" applyAlignment="1">
      <alignment horizontal="center" vertical="center"/>
    </xf>
    <xf numFmtId="0" fontId="3" fillId="0" borderId="39" xfId="2" applyFont="1" applyFill="1" applyBorder="1" applyAlignment="1">
      <alignment horizontal="center" vertical="center"/>
    </xf>
    <xf numFmtId="0" fontId="3" fillId="0" borderId="11" xfId="2" applyFont="1" applyFill="1" applyBorder="1" applyAlignment="1">
      <alignment horizontal="center" vertical="center"/>
    </xf>
    <xf numFmtId="0" fontId="0" fillId="0" borderId="50" xfId="0" quotePrefix="1" applyBorder="1" applyAlignment="1">
      <alignment horizontal="center" vertical="center"/>
    </xf>
    <xf numFmtId="0" fontId="0" fillId="0" borderId="47" xfId="0" quotePrefix="1" applyBorder="1" applyAlignment="1">
      <alignment horizontal="center" vertical="center"/>
    </xf>
    <xf numFmtId="0" fontId="0" fillId="0" borderId="16" xfId="0" quotePrefix="1" applyBorder="1" applyAlignment="1">
      <alignment horizontal="center" vertical="center"/>
    </xf>
    <xf numFmtId="0" fontId="0" fillId="0" borderId="48" xfId="0" quotePrefix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21" xfId="0" quotePrefix="1" applyBorder="1" applyAlignment="1">
      <alignment horizontal="left" vertical="center"/>
    </xf>
    <xf numFmtId="0" fontId="0" fillId="0" borderId="22" xfId="0" quotePrefix="1" applyBorder="1" applyAlignment="1">
      <alignment horizontal="left" vertical="center"/>
    </xf>
    <xf numFmtId="0" fontId="0" fillId="0" borderId="25" xfId="0" quotePrefix="1" applyBorder="1" applyAlignment="1">
      <alignment horizontal="left" vertical="center"/>
    </xf>
    <xf numFmtId="0" fontId="3" fillId="0" borderId="39" xfId="2" applyFont="1" applyFill="1" applyBorder="1" applyAlignment="1">
      <alignment horizontal="center" vertical="center" wrapText="1"/>
    </xf>
    <xf numFmtId="0" fontId="3" fillId="0" borderId="11" xfId="2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/>
    </xf>
  </cellXfs>
  <cellStyles count="3">
    <cellStyle name="Excel Built-in Normal" xfId="2" xr:uid="{00000000-0005-0000-0000-000000000000}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bsoletos/obsolete/20190808%20Tabla%20modbus%201.53%20rev%2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holding"/>
      <sheetName val="inicio zonas"/>
    </sheetNames>
    <sheetDataSet>
      <sheetData sheetId="0" refreshError="1"/>
      <sheetData sheetId="1" refreshError="1"/>
      <sheetData sheetId="2" refreshError="1">
        <row r="7">
          <cell r="B7">
            <v>20</v>
          </cell>
          <cell r="C7">
            <v>20</v>
          </cell>
        </row>
        <row r="14">
          <cell r="B14" t="str">
            <v>d0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R619"/>
  <sheetViews>
    <sheetView zoomScale="70" zoomScaleNormal="70" workbookViewId="0">
      <selection activeCell="I3" sqref="I3"/>
    </sheetView>
  </sheetViews>
  <sheetFormatPr baseColWidth="10" defaultRowHeight="14.25" x14ac:dyDescent="0.45"/>
  <cols>
    <col min="2" max="2" width="33.86328125" customWidth="1"/>
    <col min="3" max="3" width="8.59765625" customWidth="1"/>
    <col min="4" max="4" width="28.3984375" customWidth="1"/>
    <col min="5" max="5" width="11.3984375" style="24"/>
    <col min="6" max="6" width="67" customWidth="1"/>
    <col min="7" max="7" width="14.265625" customWidth="1"/>
    <col min="8" max="8" width="14.1328125" customWidth="1"/>
    <col min="9" max="9" width="11.3984375" style="24"/>
    <col min="15" max="15" width="55.3984375" customWidth="1"/>
  </cols>
  <sheetData>
    <row r="1" spans="1:14" ht="46.15" x14ac:dyDescent="1.35">
      <c r="A1" s="220" t="s">
        <v>926</v>
      </c>
    </row>
    <row r="2" spans="1:14" x14ac:dyDescent="0.45">
      <c r="B2" s="21"/>
      <c r="C2" s="21"/>
      <c r="D2" s="21"/>
      <c r="E2" s="25"/>
      <c r="G2" s="633"/>
      <c r="H2" s="633"/>
      <c r="I2" s="633"/>
      <c r="J2" s="634"/>
      <c r="K2" s="635"/>
    </row>
    <row r="3" spans="1:14" s="21" customFormat="1" ht="42.75" x14ac:dyDescent="0.45">
      <c r="A3" s="56"/>
      <c r="B3" s="364"/>
      <c r="C3" s="365"/>
      <c r="D3" s="365"/>
      <c r="E3" s="365"/>
      <c r="F3" s="70"/>
      <c r="G3" s="492" t="s">
        <v>939</v>
      </c>
      <c r="H3" s="497" t="s">
        <v>940</v>
      </c>
      <c r="I3" s="564" t="s">
        <v>943</v>
      </c>
      <c r="J3" s="106" t="s">
        <v>930</v>
      </c>
      <c r="K3" s="284" t="s">
        <v>929</v>
      </c>
    </row>
    <row r="4" spans="1:14" ht="15" customHeight="1" x14ac:dyDescent="0.45">
      <c r="A4" s="637"/>
      <c r="B4" s="43" t="s">
        <v>0</v>
      </c>
      <c r="C4" s="40" t="str">
        <f>CONCATENATE("0x", DEC2HEX(HEX2DEC('inicio zonas'!$B$7)))</f>
        <v>0x20</v>
      </c>
      <c r="D4" s="39"/>
      <c r="E4" s="41"/>
      <c r="F4" s="54"/>
      <c r="G4" s="545"/>
      <c r="H4" s="369"/>
      <c r="I4" s="420"/>
      <c r="J4" s="221"/>
      <c r="K4" s="356"/>
      <c r="L4" s="273"/>
      <c r="M4" s="21"/>
      <c r="N4" s="21"/>
    </row>
    <row r="5" spans="1:14" x14ac:dyDescent="0.45">
      <c r="A5" s="637"/>
      <c r="B5" s="44">
        <v>0</v>
      </c>
      <c r="C5" s="28" t="str">
        <f>CONCATENATE(".bit ", B5)</f>
        <v>.bit 0</v>
      </c>
      <c r="D5" s="15" t="s">
        <v>3</v>
      </c>
      <c r="E5" s="42" t="str">
        <f>CONCATENATE($C$4,DEC2HEX(B5))</f>
        <v>0x200</v>
      </c>
      <c r="F5" s="99" t="s">
        <v>660</v>
      </c>
      <c r="G5" s="421" t="s">
        <v>923</v>
      </c>
      <c r="H5" s="269" t="s">
        <v>923</v>
      </c>
      <c r="I5" s="256"/>
      <c r="J5" s="562" t="s">
        <v>921</v>
      </c>
      <c r="K5" s="247">
        <v>0</v>
      </c>
      <c r="L5" s="273"/>
      <c r="M5" s="21"/>
      <c r="N5" s="21"/>
    </row>
    <row r="6" spans="1:14" x14ac:dyDescent="0.45">
      <c r="A6" s="637"/>
      <c r="B6" s="44">
        <f>B5+1</f>
        <v>1</v>
      </c>
      <c r="C6" s="28" t="str">
        <f t="shared" ref="C6:C20" si="0">CONCATENATE(".bit ", B6)</f>
        <v>.bit 1</v>
      </c>
      <c r="D6" s="86"/>
      <c r="E6" s="42" t="str">
        <f t="shared" ref="E6:E20" si="1">CONCATENATE($C$4,DEC2HEX(B6))</f>
        <v>0x201</v>
      </c>
      <c r="F6" s="192"/>
      <c r="G6" s="421"/>
      <c r="H6" s="269"/>
      <c r="I6" s="256"/>
      <c r="J6" s="562"/>
      <c r="K6" s="247"/>
      <c r="L6" s="273"/>
      <c r="M6" s="21"/>
      <c r="N6" s="21"/>
    </row>
    <row r="7" spans="1:14" x14ac:dyDescent="0.45">
      <c r="A7" s="637"/>
      <c r="B7" s="44">
        <f t="shared" ref="B7:B20" si="2">B6+1</f>
        <v>2</v>
      </c>
      <c r="C7" s="28" t="str">
        <f t="shared" si="0"/>
        <v>.bit 2</v>
      </c>
      <c r="D7" s="456" t="s">
        <v>509</v>
      </c>
      <c r="E7" s="42" t="str">
        <f t="shared" si="1"/>
        <v>0x202</v>
      </c>
      <c r="F7" s="99" t="s">
        <v>661</v>
      </c>
      <c r="G7" s="421" t="s">
        <v>923</v>
      </c>
      <c r="H7" s="269" t="s">
        <v>923</v>
      </c>
      <c r="I7" s="256"/>
      <c r="J7" s="562" t="s">
        <v>921</v>
      </c>
      <c r="K7" s="247">
        <v>0</v>
      </c>
      <c r="M7" s="21"/>
      <c r="N7" s="21"/>
    </row>
    <row r="8" spans="1:14" x14ac:dyDescent="0.45">
      <c r="A8" s="637"/>
      <c r="B8" s="44">
        <f t="shared" si="2"/>
        <v>3</v>
      </c>
      <c r="C8" s="28" t="str">
        <f t="shared" si="0"/>
        <v>.bit 3</v>
      </c>
      <c r="D8" s="81"/>
      <c r="E8" s="42" t="str">
        <f t="shared" si="1"/>
        <v>0x203</v>
      </c>
      <c r="F8" s="99"/>
      <c r="G8" s="372"/>
      <c r="H8" s="249"/>
      <c r="I8" s="251"/>
      <c r="J8" s="562"/>
      <c r="K8" s="250"/>
      <c r="M8" s="21"/>
      <c r="N8" s="21"/>
    </row>
    <row r="9" spans="1:14" x14ac:dyDescent="0.45">
      <c r="A9" s="637"/>
      <c r="B9" s="44">
        <f t="shared" si="2"/>
        <v>4</v>
      </c>
      <c r="C9" s="28" t="str">
        <f t="shared" si="0"/>
        <v>.bit 4</v>
      </c>
      <c r="D9" s="344"/>
      <c r="E9" s="42" t="str">
        <f t="shared" si="1"/>
        <v>0x204</v>
      </c>
      <c r="F9" s="99"/>
      <c r="G9" s="372"/>
      <c r="H9" s="249"/>
      <c r="I9" s="251"/>
      <c r="J9" s="249"/>
      <c r="K9" s="250"/>
      <c r="L9" s="273"/>
      <c r="M9" s="21"/>
      <c r="N9" s="21"/>
    </row>
    <row r="10" spans="1:14" x14ac:dyDescent="0.45">
      <c r="A10" s="637"/>
      <c r="B10" s="44">
        <f t="shared" si="2"/>
        <v>5</v>
      </c>
      <c r="C10" s="28" t="str">
        <f t="shared" si="0"/>
        <v>.bit 5</v>
      </c>
      <c r="D10" s="20"/>
      <c r="E10" s="42" t="str">
        <f t="shared" si="1"/>
        <v>0x205</v>
      </c>
      <c r="F10" s="99"/>
      <c r="G10" s="372"/>
      <c r="H10" s="249"/>
      <c r="I10" s="251"/>
      <c r="J10" s="249"/>
      <c r="K10" s="250"/>
      <c r="L10" s="273"/>
      <c r="M10" s="21"/>
      <c r="N10" s="21"/>
    </row>
    <row r="11" spans="1:14" x14ac:dyDescent="0.45">
      <c r="A11" s="637"/>
      <c r="B11" s="44">
        <f t="shared" si="2"/>
        <v>6</v>
      </c>
      <c r="C11" s="28" t="str">
        <f t="shared" si="0"/>
        <v>.bit 6</v>
      </c>
      <c r="D11" s="20"/>
      <c r="E11" s="42" t="str">
        <f t="shared" si="1"/>
        <v>0x206</v>
      </c>
      <c r="F11" s="99"/>
      <c r="G11" s="372"/>
      <c r="H11" s="249"/>
      <c r="I11" s="251"/>
      <c r="J11" s="249"/>
      <c r="K11" s="250"/>
      <c r="M11" s="21"/>
      <c r="N11" s="21"/>
    </row>
    <row r="12" spans="1:14" x14ac:dyDescent="0.45">
      <c r="A12" s="637"/>
      <c r="B12" s="44">
        <f t="shared" si="2"/>
        <v>7</v>
      </c>
      <c r="C12" s="28" t="str">
        <f t="shared" si="0"/>
        <v>.bit 7</v>
      </c>
      <c r="D12" s="20"/>
      <c r="E12" s="42" t="str">
        <f t="shared" si="1"/>
        <v>0x207</v>
      </c>
      <c r="F12" s="99"/>
      <c r="G12" s="372"/>
      <c r="H12" s="249"/>
      <c r="I12" s="251"/>
      <c r="J12" s="249"/>
      <c r="K12" s="250"/>
      <c r="M12" s="21"/>
      <c r="N12" s="21"/>
    </row>
    <row r="13" spans="1:14" x14ac:dyDescent="0.45">
      <c r="A13" s="637"/>
      <c r="B13" s="44">
        <f t="shared" si="2"/>
        <v>8</v>
      </c>
      <c r="C13" s="28" t="str">
        <f t="shared" si="0"/>
        <v>.bit 8</v>
      </c>
      <c r="D13" s="20"/>
      <c r="E13" s="42" t="str">
        <f t="shared" si="1"/>
        <v>0x208</v>
      </c>
      <c r="F13" s="99"/>
      <c r="G13" s="372"/>
      <c r="H13" s="249"/>
      <c r="I13" s="251"/>
      <c r="J13" s="249"/>
      <c r="K13" s="250"/>
      <c r="M13" s="21"/>
      <c r="N13" s="21"/>
    </row>
    <row r="14" spans="1:14" x14ac:dyDescent="0.45">
      <c r="A14" s="637"/>
      <c r="B14" s="44">
        <f t="shared" si="2"/>
        <v>9</v>
      </c>
      <c r="C14" s="28" t="str">
        <f t="shared" si="0"/>
        <v>.bit 9</v>
      </c>
      <c r="D14" s="20"/>
      <c r="E14" s="42" t="str">
        <f t="shared" si="1"/>
        <v>0x209</v>
      </c>
      <c r="F14" s="99"/>
      <c r="G14" s="372"/>
      <c r="H14" s="249"/>
      <c r="I14" s="251"/>
      <c r="J14" s="249"/>
      <c r="K14" s="250"/>
      <c r="M14" s="21"/>
      <c r="N14" s="21"/>
    </row>
    <row r="15" spans="1:14" x14ac:dyDescent="0.45">
      <c r="A15" s="637"/>
      <c r="B15" s="44">
        <f t="shared" si="2"/>
        <v>10</v>
      </c>
      <c r="C15" s="28" t="str">
        <f t="shared" si="0"/>
        <v>.bit 10</v>
      </c>
      <c r="D15" s="20"/>
      <c r="E15" s="42" t="str">
        <f t="shared" si="1"/>
        <v>0x20A</v>
      </c>
      <c r="F15" s="99"/>
      <c r="G15" s="508"/>
      <c r="H15" s="414"/>
      <c r="I15" s="565"/>
      <c r="J15" s="251"/>
      <c r="K15" s="250"/>
      <c r="M15" s="21"/>
      <c r="N15" s="21"/>
    </row>
    <row r="16" spans="1:14" x14ac:dyDescent="0.45">
      <c r="A16" s="637"/>
      <c r="B16" s="44">
        <f t="shared" si="2"/>
        <v>11</v>
      </c>
      <c r="C16" s="28" t="str">
        <f t="shared" si="0"/>
        <v>.bit 11</v>
      </c>
      <c r="D16" s="20"/>
      <c r="E16" s="42" t="str">
        <f t="shared" si="1"/>
        <v>0x20B</v>
      </c>
      <c r="F16" s="99"/>
      <c r="G16" s="508"/>
      <c r="H16" s="414"/>
      <c r="I16" s="565"/>
      <c r="J16" s="251"/>
      <c r="K16" s="250"/>
      <c r="M16" s="21"/>
      <c r="N16" s="21"/>
    </row>
    <row r="17" spans="1:14" x14ac:dyDescent="0.45">
      <c r="A17" s="637"/>
      <c r="B17" s="44">
        <f t="shared" si="2"/>
        <v>12</v>
      </c>
      <c r="C17" s="28" t="str">
        <f t="shared" si="0"/>
        <v>.bit 12</v>
      </c>
      <c r="D17" s="20"/>
      <c r="E17" s="42" t="str">
        <f t="shared" si="1"/>
        <v>0x20C</v>
      </c>
      <c r="F17" s="99"/>
      <c r="G17" s="508"/>
      <c r="H17" s="414"/>
      <c r="I17" s="565"/>
      <c r="J17" s="251"/>
      <c r="K17" s="250"/>
      <c r="M17" s="21"/>
      <c r="N17" s="21"/>
    </row>
    <row r="18" spans="1:14" x14ac:dyDescent="0.45">
      <c r="A18" s="637"/>
      <c r="B18" s="44">
        <f t="shared" si="2"/>
        <v>13</v>
      </c>
      <c r="C18" s="28" t="str">
        <f t="shared" si="0"/>
        <v>.bit 13</v>
      </c>
      <c r="D18" s="20"/>
      <c r="E18" s="42" t="str">
        <f t="shared" si="1"/>
        <v>0x20D</v>
      </c>
      <c r="F18" s="99"/>
      <c r="G18" s="508"/>
      <c r="H18" s="414"/>
      <c r="I18" s="565"/>
      <c r="J18" s="251"/>
      <c r="K18" s="250"/>
      <c r="L18" s="370"/>
      <c r="M18" s="81"/>
      <c r="N18" s="21"/>
    </row>
    <row r="19" spans="1:14" x14ac:dyDescent="0.45">
      <c r="A19" s="637"/>
      <c r="B19" s="44">
        <f t="shared" si="2"/>
        <v>14</v>
      </c>
      <c r="C19" s="28" t="str">
        <f t="shared" si="0"/>
        <v>.bit 14</v>
      </c>
      <c r="D19" s="20"/>
      <c r="E19" s="42" t="str">
        <f t="shared" si="1"/>
        <v>0x20E</v>
      </c>
      <c r="F19" s="99"/>
      <c r="G19" s="372"/>
      <c r="H19" s="249"/>
      <c r="I19" s="251"/>
      <c r="J19" s="249"/>
      <c r="K19" s="250"/>
      <c r="M19" s="21"/>
      <c r="N19" s="21"/>
    </row>
    <row r="20" spans="1:14" x14ac:dyDescent="0.45">
      <c r="A20" s="637"/>
      <c r="B20" s="45">
        <f t="shared" si="2"/>
        <v>15</v>
      </c>
      <c r="C20" s="46" t="str">
        <f t="shared" si="0"/>
        <v>.bit 15</v>
      </c>
      <c r="D20" s="47"/>
      <c r="E20" s="48" t="str">
        <f t="shared" si="1"/>
        <v>0x20F</v>
      </c>
      <c r="F20" s="100"/>
      <c r="G20" s="546"/>
      <c r="H20" s="227"/>
      <c r="I20" s="566"/>
      <c r="J20" s="227"/>
      <c r="K20" s="252"/>
      <c r="M20" s="21"/>
      <c r="N20" s="21"/>
    </row>
    <row r="21" spans="1:14" x14ac:dyDescent="0.45">
      <c r="A21" s="637"/>
      <c r="B21" s="64"/>
      <c r="C21" s="65"/>
      <c r="D21" s="66"/>
      <c r="E21" s="67"/>
      <c r="F21" s="83"/>
      <c r="G21" s="547"/>
      <c r="H21" s="254"/>
      <c r="I21" s="258"/>
      <c r="J21" s="254"/>
      <c r="K21" s="255"/>
      <c r="M21" s="21"/>
      <c r="N21" s="21"/>
    </row>
    <row r="22" spans="1:14" ht="28.5" x14ac:dyDescent="0.45">
      <c r="A22" s="637"/>
      <c r="B22" s="455" t="s">
        <v>32</v>
      </c>
      <c r="C22" s="40" t="str">
        <f>CONCATENATE("0x", DEC2HEX(2+HEX2DEC('inicio zonas'!$B$7)))</f>
        <v>0x22</v>
      </c>
      <c r="D22" s="66"/>
      <c r="E22" s="67"/>
      <c r="F22" s="153" t="s">
        <v>768</v>
      </c>
      <c r="G22" s="548" t="s">
        <v>923</v>
      </c>
      <c r="H22" s="368" t="s">
        <v>923</v>
      </c>
      <c r="I22" s="94"/>
      <c r="J22" s="368" t="s">
        <v>921</v>
      </c>
      <c r="K22" s="371">
        <v>0</v>
      </c>
      <c r="L22" s="372"/>
      <c r="M22" s="86"/>
    </row>
    <row r="23" spans="1:14" x14ac:dyDescent="0.45">
      <c r="A23" s="637"/>
      <c r="B23" s="64"/>
      <c r="C23" s="65"/>
      <c r="D23" s="66"/>
      <c r="E23" s="67"/>
      <c r="F23" s="66"/>
      <c r="G23" s="265"/>
      <c r="H23" s="224"/>
      <c r="I23" s="567"/>
      <c r="J23" s="224"/>
      <c r="K23" s="244"/>
    </row>
    <row r="24" spans="1:14" x14ac:dyDescent="0.45">
      <c r="A24" s="637"/>
      <c r="B24" s="43" t="s">
        <v>253</v>
      </c>
      <c r="C24" s="40" t="str">
        <f>CONCATENATE("0x", DEC2HEX(4+HEX2DEC('inicio zonas'!$B$7)))</f>
        <v>0x24</v>
      </c>
      <c r="D24" s="39"/>
      <c r="E24" s="41"/>
      <c r="F24" s="54"/>
      <c r="G24" s="421"/>
      <c r="H24" s="269"/>
      <c r="I24" s="256"/>
      <c r="J24" s="222"/>
      <c r="K24" s="247"/>
    </row>
    <row r="25" spans="1:14" x14ac:dyDescent="0.45">
      <c r="A25" s="637"/>
      <c r="B25" s="148">
        <v>0</v>
      </c>
      <c r="C25" s="28" t="str">
        <f>CONCATENATE(".bit ", B25)</f>
        <v>.bit 0</v>
      </c>
      <c r="D25" s="15" t="s">
        <v>395</v>
      </c>
      <c r="E25" s="42" t="str">
        <f>CONCATENATE($C$24,DEC2HEX(B25))</f>
        <v>0x240</v>
      </c>
      <c r="F25" s="99" t="s">
        <v>935</v>
      </c>
      <c r="G25" s="421" t="s">
        <v>923</v>
      </c>
      <c r="H25" s="269" t="s">
        <v>923</v>
      </c>
      <c r="I25" s="256"/>
      <c r="J25" s="222" t="s">
        <v>921</v>
      </c>
      <c r="K25" s="247">
        <v>0</v>
      </c>
    </row>
    <row r="26" spans="1:14" x14ac:dyDescent="0.45">
      <c r="A26" s="637"/>
      <c r="B26" s="148">
        <f>B25+1</f>
        <v>1</v>
      </c>
      <c r="C26" s="28" t="str">
        <f t="shared" ref="C26:C40" si="3">CONCATENATE(".bit ", B26)</f>
        <v>.bit 1</v>
      </c>
      <c r="D26" s="15" t="s">
        <v>396</v>
      </c>
      <c r="E26" s="42" t="str">
        <f t="shared" ref="E26:E40" si="4">CONCATENATE($C$24,DEC2HEX(B26))</f>
        <v>0x241</v>
      </c>
      <c r="F26" s="118" t="s">
        <v>654</v>
      </c>
      <c r="G26" s="421" t="s">
        <v>923</v>
      </c>
      <c r="H26" s="269" t="s">
        <v>923</v>
      </c>
      <c r="I26" s="256"/>
      <c r="J26" s="222" t="s">
        <v>921</v>
      </c>
      <c r="K26" s="247">
        <v>0</v>
      </c>
    </row>
    <row r="27" spans="1:14" x14ac:dyDescent="0.45">
      <c r="A27" s="637"/>
      <c r="B27" s="148">
        <f t="shared" ref="B27:B40" si="5">B26+1</f>
        <v>2</v>
      </c>
      <c r="C27" s="28" t="str">
        <f t="shared" si="3"/>
        <v>.bit 2</v>
      </c>
      <c r="D27" s="128" t="s">
        <v>316</v>
      </c>
      <c r="E27" s="42" t="str">
        <f t="shared" si="4"/>
        <v>0x242</v>
      </c>
      <c r="F27" s="118" t="s">
        <v>653</v>
      </c>
      <c r="G27" s="421" t="s">
        <v>923</v>
      </c>
      <c r="H27" s="269" t="s">
        <v>923</v>
      </c>
      <c r="I27" s="256"/>
      <c r="J27" s="222" t="s">
        <v>921</v>
      </c>
      <c r="K27" s="247">
        <v>0</v>
      </c>
    </row>
    <row r="28" spans="1:14" x14ac:dyDescent="0.45">
      <c r="A28" s="637"/>
      <c r="B28" s="148">
        <f t="shared" si="5"/>
        <v>3</v>
      </c>
      <c r="C28" s="28" t="str">
        <f t="shared" si="3"/>
        <v>.bit 3</v>
      </c>
      <c r="D28" s="128"/>
      <c r="E28" s="42" t="str">
        <f t="shared" si="4"/>
        <v>0x243</v>
      </c>
      <c r="F28" s="124"/>
      <c r="G28" s="547"/>
      <c r="H28" s="254"/>
      <c r="I28" s="258"/>
      <c r="J28" s="254"/>
      <c r="K28" s="255"/>
    </row>
    <row r="29" spans="1:14" x14ac:dyDescent="0.45">
      <c r="A29" s="637"/>
      <c r="B29" s="148">
        <f t="shared" si="5"/>
        <v>4</v>
      </c>
      <c r="C29" s="28" t="str">
        <f t="shared" si="3"/>
        <v>.bit 4</v>
      </c>
      <c r="D29" s="15"/>
      <c r="E29" s="42" t="str">
        <f t="shared" si="4"/>
        <v>0x244</v>
      </c>
      <c r="F29" s="99"/>
      <c r="G29" s="421"/>
      <c r="H29" s="269"/>
      <c r="I29" s="256"/>
      <c r="J29" s="222"/>
      <c r="K29" s="247"/>
    </row>
    <row r="30" spans="1:14" x14ac:dyDescent="0.45">
      <c r="A30" s="637"/>
      <c r="B30" s="148">
        <f t="shared" si="5"/>
        <v>5</v>
      </c>
      <c r="C30" s="28" t="str">
        <f t="shared" si="3"/>
        <v>.bit 5</v>
      </c>
      <c r="D30" s="15"/>
      <c r="E30" s="42" t="str">
        <f t="shared" si="4"/>
        <v>0x245</v>
      </c>
      <c r="F30" s="349" t="s">
        <v>662</v>
      </c>
      <c r="G30" s="512"/>
      <c r="H30" s="527"/>
      <c r="I30" s="568"/>
      <c r="J30" s="256"/>
      <c r="K30" s="247"/>
    </row>
    <row r="31" spans="1:14" x14ac:dyDescent="0.45">
      <c r="A31" s="637"/>
      <c r="B31" s="148">
        <f t="shared" si="5"/>
        <v>6</v>
      </c>
      <c r="C31" s="28" t="str">
        <f t="shared" si="3"/>
        <v>.bit 6</v>
      </c>
      <c r="D31" s="15"/>
      <c r="E31" s="42" t="str">
        <f t="shared" si="4"/>
        <v>0x246</v>
      </c>
      <c r="F31" s="349" t="s">
        <v>663</v>
      </c>
      <c r="G31" s="512"/>
      <c r="H31" s="527"/>
      <c r="I31" s="568"/>
      <c r="J31" s="256"/>
      <c r="K31" s="247"/>
    </row>
    <row r="32" spans="1:14" x14ac:dyDescent="0.45">
      <c r="A32" s="637"/>
      <c r="B32" s="148">
        <f t="shared" si="5"/>
        <v>7</v>
      </c>
      <c r="C32" s="28" t="str">
        <f t="shared" si="3"/>
        <v>.bit 7</v>
      </c>
      <c r="D32" s="15"/>
      <c r="E32" s="42" t="str">
        <f t="shared" si="4"/>
        <v>0x247</v>
      </c>
      <c r="F32" s="349" t="s">
        <v>664</v>
      </c>
      <c r="G32" s="512"/>
      <c r="H32" s="527"/>
      <c r="I32" s="568"/>
      <c r="J32" s="256"/>
      <c r="K32" s="247"/>
    </row>
    <row r="33" spans="1:11" x14ac:dyDescent="0.45">
      <c r="A33" s="637"/>
      <c r="B33" s="148">
        <f t="shared" si="5"/>
        <v>8</v>
      </c>
      <c r="C33" s="28" t="str">
        <f t="shared" si="3"/>
        <v>.bit 8</v>
      </c>
      <c r="D33" s="81"/>
      <c r="E33" s="42" t="str">
        <f t="shared" si="4"/>
        <v>0x248</v>
      </c>
      <c r="F33" s="349"/>
      <c r="G33" s="512"/>
      <c r="H33" s="527"/>
      <c r="I33" s="568"/>
      <c r="J33" s="256"/>
      <c r="K33" s="247"/>
    </row>
    <row r="34" spans="1:11" x14ac:dyDescent="0.45">
      <c r="A34" s="637"/>
      <c r="B34" s="148">
        <f t="shared" si="5"/>
        <v>9</v>
      </c>
      <c r="C34" s="28" t="str">
        <f t="shared" si="3"/>
        <v>.bit 9</v>
      </c>
      <c r="D34" s="15"/>
      <c r="E34" s="42" t="str">
        <f t="shared" si="4"/>
        <v>0x249</v>
      </c>
      <c r="F34" s="349" t="s">
        <v>665</v>
      </c>
      <c r="G34" s="512"/>
      <c r="H34" s="527"/>
      <c r="I34" s="568"/>
      <c r="J34" s="256"/>
      <c r="K34" s="247"/>
    </row>
    <row r="35" spans="1:11" x14ac:dyDescent="0.45">
      <c r="A35" s="637"/>
      <c r="B35" s="148">
        <f t="shared" si="5"/>
        <v>10</v>
      </c>
      <c r="C35" s="28" t="str">
        <f t="shared" si="3"/>
        <v>.bit 10</v>
      </c>
      <c r="D35" s="15"/>
      <c r="E35" s="42" t="str">
        <f t="shared" si="4"/>
        <v>0x24A</v>
      </c>
      <c r="F35" s="349" t="s">
        <v>666</v>
      </c>
      <c r="G35" s="512"/>
      <c r="H35" s="527"/>
      <c r="I35" s="568"/>
      <c r="J35" s="256"/>
      <c r="K35" s="247"/>
    </row>
    <row r="36" spans="1:11" x14ac:dyDescent="0.45">
      <c r="A36" s="637"/>
      <c r="B36" s="148">
        <f t="shared" si="5"/>
        <v>11</v>
      </c>
      <c r="C36" s="28" t="str">
        <f t="shared" si="3"/>
        <v>.bit 11</v>
      </c>
      <c r="D36" s="15"/>
      <c r="E36" s="42" t="str">
        <f t="shared" si="4"/>
        <v>0x24B</v>
      </c>
      <c r="F36" s="99"/>
      <c r="G36" s="512"/>
      <c r="H36" s="527"/>
      <c r="I36" s="568"/>
      <c r="J36" s="256"/>
      <c r="K36" s="247"/>
    </row>
    <row r="37" spans="1:11" x14ac:dyDescent="0.45">
      <c r="A37" s="637"/>
      <c r="B37" s="148">
        <f t="shared" si="5"/>
        <v>12</v>
      </c>
      <c r="C37" s="28" t="str">
        <f t="shared" si="3"/>
        <v>.bit 12</v>
      </c>
      <c r="D37" s="15"/>
      <c r="E37" s="42" t="str">
        <f t="shared" si="4"/>
        <v>0x24C</v>
      </c>
      <c r="F37" s="99"/>
      <c r="G37" s="512"/>
      <c r="H37" s="527"/>
      <c r="I37" s="568"/>
      <c r="J37" s="256"/>
      <c r="K37" s="247"/>
    </row>
    <row r="38" spans="1:11" x14ac:dyDescent="0.45">
      <c r="A38" s="637"/>
      <c r="B38" s="148">
        <f t="shared" si="5"/>
        <v>13</v>
      </c>
      <c r="C38" s="28" t="str">
        <f t="shared" si="3"/>
        <v>.bit 13</v>
      </c>
      <c r="D38" s="15"/>
      <c r="E38" s="42" t="str">
        <f t="shared" si="4"/>
        <v>0x24D</v>
      </c>
      <c r="F38" s="99"/>
      <c r="G38" s="421"/>
      <c r="H38" s="269"/>
      <c r="I38" s="256"/>
      <c r="J38" s="222"/>
      <c r="K38" s="247"/>
    </row>
    <row r="39" spans="1:11" x14ac:dyDescent="0.45">
      <c r="A39" s="637"/>
      <c r="B39" s="148">
        <f t="shared" si="5"/>
        <v>14</v>
      </c>
      <c r="C39" s="28" t="str">
        <f t="shared" si="3"/>
        <v>.bit 14</v>
      </c>
      <c r="D39" s="15"/>
      <c r="E39" s="42" t="str">
        <f t="shared" si="4"/>
        <v>0x24E</v>
      </c>
      <c r="F39" s="99"/>
      <c r="G39" s="421"/>
      <c r="H39" s="269"/>
      <c r="I39" s="256"/>
      <c r="J39" s="222"/>
      <c r="K39" s="247"/>
    </row>
    <row r="40" spans="1:11" x14ac:dyDescent="0.45">
      <c r="A40" s="637"/>
      <c r="B40" s="45">
        <f t="shared" si="5"/>
        <v>15</v>
      </c>
      <c r="C40" s="46" t="str">
        <f t="shared" si="3"/>
        <v>.bit 15</v>
      </c>
      <c r="D40" s="80"/>
      <c r="E40" s="48" t="str">
        <f t="shared" si="4"/>
        <v>0x24F</v>
      </c>
      <c r="F40" s="100"/>
      <c r="G40" s="549"/>
      <c r="H40" s="551"/>
      <c r="I40" s="569"/>
      <c r="J40" s="226"/>
      <c r="K40" s="257"/>
    </row>
    <row r="41" spans="1:11" x14ac:dyDescent="0.45">
      <c r="A41" s="637"/>
      <c r="B41" s="43" t="s">
        <v>254</v>
      </c>
      <c r="C41" s="40" t="str">
        <f>CONCATENATE("0x", DEC2HEX(5+HEX2DEC('inicio zonas'!$B$7)))</f>
        <v>0x25</v>
      </c>
      <c r="D41" s="184"/>
      <c r="E41" s="41"/>
      <c r="F41" s="54"/>
      <c r="G41" s="512"/>
      <c r="H41" s="527"/>
      <c r="I41" s="568"/>
      <c r="J41" s="256"/>
      <c r="K41" s="247"/>
    </row>
    <row r="42" spans="1:11" x14ac:dyDescent="0.45">
      <c r="A42" s="637"/>
      <c r="B42" s="44">
        <v>0</v>
      </c>
      <c r="C42" s="28" t="str">
        <f>CONCATENATE(".bit ", B42)</f>
        <v>.bit 0</v>
      </c>
      <c r="D42" s="15" t="s">
        <v>25</v>
      </c>
      <c r="E42" s="42" t="str">
        <f>CONCATENATE($C$41,DEC2HEX(B42))</f>
        <v>0x250</v>
      </c>
      <c r="F42" s="99" t="s">
        <v>149</v>
      </c>
      <c r="G42" s="421" t="s">
        <v>923</v>
      </c>
      <c r="H42" s="269" t="s">
        <v>923</v>
      </c>
      <c r="I42" s="256"/>
      <c r="J42" s="222" t="s">
        <v>921</v>
      </c>
      <c r="K42" s="247">
        <v>0</v>
      </c>
    </row>
    <row r="43" spans="1:11" x14ac:dyDescent="0.45">
      <c r="A43" s="637"/>
      <c r="B43" s="44">
        <f>B42+1</f>
        <v>1</v>
      </c>
      <c r="C43" s="28" t="str">
        <f t="shared" ref="C43:C57" si="6">CONCATENATE(".bit ", B43)</f>
        <v>.bit 1</v>
      </c>
      <c r="D43" s="15" t="s">
        <v>507</v>
      </c>
      <c r="E43" s="42" t="str">
        <f t="shared" ref="E43:E57" si="7">CONCATENATE($C$41,DEC2HEX(B43))</f>
        <v>0x251</v>
      </c>
      <c r="F43" s="99" t="s">
        <v>934</v>
      </c>
      <c r="G43" s="421" t="s">
        <v>923</v>
      </c>
      <c r="H43" s="269" t="s">
        <v>923</v>
      </c>
      <c r="I43" s="256"/>
      <c r="J43" s="222" t="s">
        <v>921</v>
      </c>
      <c r="K43" s="247">
        <v>0</v>
      </c>
    </row>
    <row r="44" spans="1:11" x14ac:dyDescent="0.45">
      <c r="A44" s="637"/>
      <c r="B44" s="44">
        <f t="shared" ref="B44:B57" si="8">B43+1</f>
        <v>2</v>
      </c>
      <c r="C44" s="28" t="str">
        <f t="shared" si="6"/>
        <v>.bit 2</v>
      </c>
      <c r="D44" s="15" t="s">
        <v>508</v>
      </c>
      <c r="E44" s="42" t="str">
        <f t="shared" si="7"/>
        <v>0x252</v>
      </c>
      <c r="F44" s="99" t="s">
        <v>933</v>
      </c>
      <c r="G44" s="421" t="s">
        <v>923</v>
      </c>
      <c r="H44" s="269" t="s">
        <v>923</v>
      </c>
      <c r="I44" s="256"/>
      <c r="J44" s="222" t="s">
        <v>921</v>
      </c>
      <c r="K44" s="247">
        <v>0</v>
      </c>
    </row>
    <row r="45" spans="1:11" x14ac:dyDescent="0.45">
      <c r="A45" s="637"/>
      <c r="B45" s="44">
        <f t="shared" si="8"/>
        <v>3</v>
      </c>
      <c r="C45" s="28" t="str">
        <f t="shared" si="6"/>
        <v>.bit 3</v>
      </c>
      <c r="D45" s="15"/>
      <c r="E45" s="42" t="str">
        <f t="shared" si="7"/>
        <v>0x253</v>
      </c>
      <c r="F45" s="99"/>
      <c r="G45" s="547"/>
      <c r="H45" s="254"/>
      <c r="I45" s="258"/>
      <c r="J45" s="254"/>
      <c r="K45" s="255"/>
    </row>
    <row r="46" spans="1:11" x14ac:dyDescent="0.45">
      <c r="A46" s="637"/>
      <c r="B46" s="44">
        <f t="shared" si="8"/>
        <v>4</v>
      </c>
      <c r="C46" s="28" t="str">
        <f t="shared" si="6"/>
        <v>.bit 4</v>
      </c>
      <c r="D46" s="13"/>
      <c r="E46" s="42" t="str">
        <f t="shared" si="7"/>
        <v>0x254</v>
      </c>
      <c r="F46" s="349"/>
      <c r="G46" s="512"/>
      <c r="H46" s="527"/>
      <c r="I46" s="568"/>
      <c r="J46" s="256"/>
      <c r="K46" s="247"/>
    </row>
    <row r="47" spans="1:11" x14ac:dyDescent="0.45">
      <c r="A47" s="637"/>
      <c r="B47" s="44">
        <f t="shared" si="8"/>
        <v>5</v>
      </c>
      <c r="C47" s="28" t="str">
        <f t="shared" si="6"/>
        <v>.bit 5</v>
      </c>
      <c r="D47" s="13"/>
      <c r="E47" s="42" t="str">
        <f t="shared" si="7"/>
        <v>0x255</v>
      </c>
      <c r="F47" s="349"/>
      <c r="G47" s="512"/>
      <c r="H47" s="527"/>
      <c r="I47" s="568"/>
      <c r="J47" s="256"/>
      <c r="K47" s="247"/>
    </row>
    <row r="48" spans="1:11" x14ac:dyDescent="0.45">
      <c r="A48" s="637"/>
      <c r="B48" s="44">
        <f t="shared" si="8"/>
        <v>6</v>
      </c>
      <c r="C48" s="28" t="str">
        <f t="shared" si="6"/>
        <v>.bit 6</v>
      </c>
      <c r="D48" s="13"/>
      <c r="E48" s="42" t="str">
        <f t="shared" si="7"/>
        <v>0x256</v>
      </c>
      <c r="F48" s="99"/>
      <c r="G48" s="512"/>
      <c r="H48" s="527"/>
      <c r="I48" s="568"/>
      <c r="J48" s="256"/>
      <c r="K48" s="247"/>
    </row>
    <row r="49" spans="1:12" x14ac:dyDescent="0.45">
      <c r="A49" s="637"/>
      <c r="B49" s="44">
        <f t="shared" si="8"/>
        <v>7</v>
      </c>
      <c r="C49" s="28" t="str">
        <f t="shared" si="6"/>
        <v>.bit 7</v>
      </c>
      <c r="D49" s="13"/>
      <c r="E49" s="42" t="str">
        <f t="shared" si="7"/>
        <v>0x257</v>
      </c>
      <c r="F49" s="99"/>
      <c r="G49" s="421"/>
      <c r="H49" s="269"/>
      <c r="I49" s="256"/>
      <c r="J49" s="222"/>
      <c r="K49" s="247"/>
    </row>
    <row r="50" spans="1:12" x14ac:dyDescent="0.45">
      <c r="A50" s="637"/>
      <c r="B50" s="44">
        <f t="shared" si="8"/>
        <v>8</v>
      </c>
      <c r="C50" s="28" t="str">
        <f t="shared" si="6"/>
        <v>.bit 8</v>
      </c>
      <c r="D50" s="13"/>
      <c r="E50" s="42" t="str">
        <f t="shared" si="7"/>
        <v>0x258</v>
      </c>
      <c r="F50" s="99"/>
      <c r="G50" s="421"/>
      <c r="H50" s="269"/>
      <c r="I50" s="256"/>
      <c r="J50" s="222"/>
      <c r="K50" s="247"/>
    </row>
    <row r="51" spans="1:12" x14ac:dyDescent="0.45">
      <c r="A51" s="637"/>
      <c r="B51" s="44">
        <f t="shared" si="8"/>
        <v>9</v>
      </c>
      <c r="C51" s="28" t="str">
        <f t="shared" si="6"/>
        <v>.bit 9</v>
      </c>
      <c r="D51" s="13"/>
      <c r="E51" s="42" t="str">
        <f t="shared" si="7"/>
        <v>0x259</v>
      </c>
      <c r="F51" s="99"/>
      <c r="G51" s="421"/>
      <c r="H51" s="269"/>
      <c r="I51" s="256"/>
      <c r="J51" s="222"/>
      <c r="K51" s="247"/>
    </row>
    <row r="52" spans="1:12" x14ac:dyDescent="0.45">
      <c r="A52" s="637"/>
      <c r="B52" s="44">
        <f t="shared" si="8"/>
        <v>10</v>
      </c>
      <c r="C52" s="28" t="str">
        <f t="shared" si="6"/>
        <v>.bit 10</v>
      </c>
      <c r="D52" s="13"/>
      <c r="E52" s="42" t="str">
        <f t="shared" si="7"/>
        <v>0x25A</v>
      </c>
      <c r="F52" s="99"/>
      <c r="G52" s="421"/>
      <c r="H52" s="269"/>
      <c r="I52" s="256"/>
      <c r="J52" s="222"/>
      <c r="K52" s="247"/>
    </row>
    <row r="53" spans="1:12" x14ac:dyDescent="0.45">
      <c r="A53" s="637"/>
      <c r="B53" s="44">
        <f t="shared" si="8"/>
        <v>11</v>
      </c>
      <c r="C53" s="28" t="str">
        <f t="shared" si="6"/>
        <v>.bit 11</v>
      </c>
      <c r="D53" s="13"/>
      <c r="E53" s="42" t="str">
        <f t="shared" si="7"/>
        <v>0x25B</v>
      </c>
      <c r="F53" s="99"/>
      <c r="G53" s="421"/>
      <c r="H53" s="269"/>
      <c r="I53" s="256"/>
      <c r="J53" s="222"/>
      <c r="K53" s="247"/>
    </row>
    <row r="54" spans="1:12" x14ac:dyDescent="0.45">
      <c r="A54" s="637"/>
      <c r="B54" s="44">
        <f t="shared" si="8"/>
        <v>12</v>
      </c>
      <c r="C54" s="28" t="str">
        <f t="shared" si="6"/>
        <v>.bit 12</v>
      </c>
      <c r="D54" s="13"/>
      <c r="E54" s="42" t="str">
        <f t="shared" si="7"/>
        <v>0x25C</v>
      </c>
      <c r="F54" s="99"/>
      <c r="G54" s="512"/>
      <c r="H54" s="527"/>
      <c r="I54" s="568"/>
      <c r="J54" s="256"/>
      <c r="K54" s="247"/>
    </row>
    <row r="55" spans="1:12" x14ac:dyDescent="0.45">
      <c r="A55" s="637"/>
      <c r="B55" s="44">
        <f t="shared" si="8"/>
        <v>13</v>
      </c>
      <c r="C55" s="28" t="str">
        <f t="shared" si="6"/>
        <v>.bit 13</v>
      </c>
      <c r="D55" s="13"/>
      <c r="E55" s="42" t="str">
        <f t="shared" si="7"/>
        <v>0x25D</v>
      </c>
      <c r="F55" s="99"/>
      <c r="G55" s="512"/>
      <c r="H55" s="527"/>
      <c r="I55" s="568"/>
      <c r="J55" s="256"/>
      <c r="K55" s="247"/>
    </row>
    <row r="56" spans="1:12" x14ac:dyDescent="0.45">
      <c r="A56" s="637"/>
      <c r="B56" s="44">
        <f t="shared" si="8"/>
        <v>14</v>
      </c>
      <c r="C56" s="28" t="str">
        <f t="shared" si="6"/>
        <v>.bit 14</v>
      </c>
      <c r="D56" s="13"/>
      <c r="E56" s="42" t="str">
        <f t="shared" si="7"/>
        <v>0x25E</v>
      </c>
      <c r="F56" s="99"/>
      <c r="G56" s="512"/>
      <c r="H56" s="527"/>
      <c r="I56" s="568"/>
      <c r="J56" s="256"/>
      <c r="K56" s="247"/>
    </row>
    <row r="57" spans="1:12" x14ac:dyDescent="0.45">
      <c r="A57" s="637"/>
      <c r="B57" s="45">
        <f t="shared" si="8"/>
        <v>15</v>
      </c>
      <c r="C57" s="46" t="str">
        <f t="shared" si="6"/>
        <v>.bit 15</v>
      </c>
      <c r="D57" s="80"/>
      <c r="E57" s="42" t="str">
        <f t="shared" si="7"/>
        <v>0x25F</v>
      </c>
      <c r="F57" s="100"/>
      <c r="G57" s="512"/>
      <c r="H57" s="527"/>
      <c r="I57" s="568"/>
      <c r="J57" s="256"/>
      <c r="K57" s="247"/>
    </row>
    <row r="58" spans="1:12" x14ac:dyDescent="0.45">
      <c r="A58" s="637"/>
      <c r="B58" s="43" t="s">
        <v>255</v>
      </c>
      <c r="C58" s="40" t="str">
        <f>CONCATENATE("0x", DEC2HEX(6+HEX2DEC('inicio zonas'!$B$7)))</f>
        <v>0x26</v>
      </c>
      <c r="D58" s="184"/>
      <c r="E58" s="41"/>
      <c r="F58" s="54"/>
      <c r="G58" s="509"/>
      <c r="H58" s="524"/>
      <c r="I58" s="570"/>
      <c r="J58" s="228"/>
      <c r="K58" s="245"/>
    </row>
    <row r="59" spans="1:12" x14ac:dyDescent="0.45">
      <c r="A59" s="637"/>
      <c r="B59" s="44">
        <v>0</v>
      </c>
      <c r="C59" s="28" t="str">
        <f>CONCATENATE(".bit ", B59)</f>
        <v>.bit 0</v>
      </c>
      <c r="D59" s="15" t="s">
        <v>26</v>
      </c>
      <c r="E59" s="42" t="str">
        <f>CONCATENATE($C$58,DEC2HEX(B59))</f>
        <v>0x260</v>
      </c>
      <c r="F59" s="99" t="s">
        <v>150</v>
      </c>
      <c r="G59" s="421" t="s">
        <v>923</v>
      </c>
      <c r="H59" s="269" t="s">
        <v>923</v>
      </c>
      <c r="I59" s="256"/>
      <c r="J59" s="222" t="s">
        <v>921</v>
      </c>
      <c r="K59" s="247">
        <v>0</v>
      </c>
    </row>
    <row r="60" spans="1:12" x14ac:dyDescent="0.45">
      <c r="A60" s="637"/>
      <c r="B60" s="44">
        <f>B59+1</f>
        <v>1</v>
      </c>
      <c r="C60" s="28" t="str">
        <f t="shared" ref="C60:C74" si="9">CONCATENATE(".bit ", B60)</f>
        <v>.bit 1</v>
      </c>
      <c r="D60" s="15" t="s">
        <v>27</v>
      </c>
      <c r="E60" s="42" t="str">
        <f t="shared" ref="E60:E74" si="10">CONCATENATE($C$58,DEC2HEX(B60))</f>
        <v>0x261</v>
      </c>
      <c r="F60" s="99" t="s">
        <v>151</v>
      </c>
      <c r="G60" s="421" t="s">
        <v>923</v>
      </c>
      <c r="H60" s="269" t="s">
        <v>923</v>
      </c>
      <c r="I60" s="256"/>
      <c r="J60" s="222" t="s">
        <v>921</v>
      </c>
      <c r="K60" s="247">
        <v>0</v>
      </c>
    </row>
    <row r="61" spans="1:12" x14ac:dyDescent="0.45">
      <c r="A61" s="637"/>
      <c r="B61" s="44">
        <f t="shared" ref="B61:B74" si="11">B60+1</f>
        <v>2</v>
      </c>
      <c r="C61" s="28" t="str">
        <f t="shared" si="9"/>
        <v>.bit 2</v>
      </c>
      <c r="D61" s="15"/>
      <c r="E61" s="42" t="str">
        <f t="shared" si="10"/>
        <v>0x262</v>
      </c>
      <c r="F61" s="99"/>
      <c r="G61" s="512"/>
      <c r="H61" s="527"/>
      <c r="I61" s="568"/>
      <c r="J61" s="256"/>
      <c r="K61" s="247"/>
    </row>
    <row r="62" spans="1:12" x14ac:dyDescent="0.45">
      <c r="A62" s="637"/>
      <c r="B62" s="44">
        <f t="shared" si="11"/>
        <v>3</v>
      </c>
      <c r="C62" s="28" t="str">
        <f t="shared" si="9"/>
        <v>.bit 3</v>
      </c>
      <c r="D62" s="15"/>
      <c r="E62" s="42" t="str">
        <f t="shared" si="10"/>
        <v>0x263</v>
      </c>
      <c r="F62" s="99"/>
      <c r="G62" s="512"/>
      <c r="H62" s="527"/>
      <c r="I62" s="568"/>
      <c r="J62" s="256"/>
      <c r="K62" s="247"/>
    </row>
    <row r="63" spans="1:12" x14ac:dyDescent="0.45">
      <c r="A63" s="637"/>
      <c r="B63" s="44">
        <f t="shared" si="11"/>
        <v>4</v>
      </c>
      <c r="C63" s="28" t="str">
        <f t="shared" si="9"/>
        <v>.bit 4</v>
      </c>
      <c r="D63" s="15"/>
      <c r="E63" s="42" t="str">
        <f t="shared" si="10"/>
        <v>0x264</v>
      </c>
      <c r="F63" s="99"/>
      <c r="G63" s="512"/>
      <c r="H63" s="527"/>
      <c r="I63" s="568"/>
      <c r="J63" s="256"/>
      <c r="K63" s="247"/>
    </row>
    <row r="64" spans="1:12" x14ac:dyDescent="0.45">
      <c r="A64" s="637"/>
      <c r="B64" s="44">
        <f t="shared" si="11"/>
        <v>5</v>
      </c>
      <c r="C64" s="28" t="str">
        <f t="shared" si="9"/>
        <v>.bit 5</v>
      </c>
      <c r="D64" s="15" t="s">
        <v>214</v>
      </c>
      <c r="E64" s="42" t="str">
        <f t="shared" si="10"/>
        <v>0x265</v>
      </c>
      <c r="F64" s="99" t="s">
        <v>152</v>
      </c>
      <c r="G64" s="421" t="s">
        <v>923</v>
      </c>
      <c r="H64" s="269" t="s">
        <v>923</v>
      </c>
      <c r="I64" s="256"/>
      <c r="J64" s="222" t="s">
        <v>921</v>
      </c>
      <c r="K64" s="247">
        <v>0</v>
      </c>
      <c r="L64" s="231"/>
    </row>
    <row r="65" spans="1:12" x14ac:dyDescent="0.45">
      <c r="A65" s="637"/>
      <c r="B65" s="44">
        <f t="shared" si="11"/>
        <v>6</v>
      </c>
      <c r="C65" s="28" t="str">
        <f t="shared" si="9"/>
        <v>.bit 6</v>
      </c>
      <c r="D65" s="15" t="s">
        <v>215</v>
      </c>
      <c r="E65" s="42" t="str">
        <f t="shared" si="10"/>
        <v>0x266</v>
      </c>
      <c r="F65" s="99" t="s">
        <v>153</v>
      </c>
      <c r="G65" s="421" t="s">
        <v>923</v>
      </c>
      <c r="H65" s="269" t="s">
        <v>923</v>
      </c>
      <c r="I65" s="256"/>
      <c r="J65" s="222" t="s">
        <v>921</v>
      </c>
      <c r="K65" s="247">
        <v>0</v>
      </c>
    </row>
    <row r="66" spans="1:12" x14ac:dyDescent="0.45">
      <c r="A66" s="637"/>
      <c r="B66" s="44">
        <f t="shared" si="11"/>
        <v>7</v>
      </c>
      <c r="C66" s="28" t="str">
        <f t="shared" si="9"/>
        <v>.bit 7</v>
      </c>
      <c r="D66" s="15" t="s">
        <v>216</v>
      </c>
      <c r="E66" s="42" t="str">
        <f t="shared" si="10"/>
        <v>0x267</v>
      </c>
      <c r="F66" s="99" t="s">
        <v>213</v>
      </c>
      <c r="G66" s="421" t="s">
        <v>923</v>
      </c>
      <c r="H66" s="269" t="s">
        <v>923</v>
      </c>
      <c r="I66" s="256"/>
      <c r="J66" s="222" t="s">
        <v>921</v>
      </c>
      <c r="K66" s="247">
        <v>0</v>
      </c>
      <c r="L66" s="231"/>
    </row>
    <row r="67" spans="1:12" x14ac:dyDescent="0.45">
      <c r="A67" s="637"/>
      <c r="B67" s="44">
        <f t="shared" si="11"/>
        <v>8</v>
      </c>
      <c r="C67" s="28" t="str">
        <f t="shared" si="9"/>
        <v>.bit 8</v>
      </c>
      <c r="D67" s="15" t="s">
        <v>455</v>
      </c>
      <c r="E67" s="42" t="str">
        <f t="shared" si="10"/>
        <v>0x268</v>
      </c>
      <c r="F67" s="99" t="s">
        <v>458</v>
      </c>
      <c r="G67" s="421" t="s">
        <v>923</v>
      </c>
      <c r="H67" s="269" t="s">
        <v>923</v>
      </c>
      <c r="I67" s="256"/>
      <c r="J67" s="222" t="s">
        <v>921</v>
      </c>
      <c r="K67" s="247">
        <v>0</v>
      </c>
    </row>
    <row r="68" spans="1:12" x14ac:dyDescent="0.45">
      <c r="A68" s="637"/>
      <c r="B68" s="44">
        <f t="shared" si="11"/>
        <v>9</v>
      </c>
      <c r="C68" s="28" t="str">
        <f t="shared" si="9"/>
        <v>.bit 9</v>
      </c>
      <c r="D68" s="86"/>
      <c r="E68" s="42" t="str">
        <f t="shared" si="10"/>
        <v>0x269</v>
      </c>
      <c r="F68" s="99"/>
      <c r="G68" s="421"/>
      <c r="H68" s="269"/>
      <c r="I68" s="256"/>
      <c r="J68" s="222"/>
      <c r="K68" s="247"/>
    </row>
    <row r="69" spans="1:12" x14ac:dyDescent="0.45">
      <c r="A69" s="637"/>
      <c r="B69" s="44">
        <f t="shared" si="11"/>
        <v>10</v>
      </c>
      <c r="C69" s="28" t="str">
        <f t="shared" si="9"/>
        <v>.bit 10</v>
      </c>
      <c r="D69" s="15"/>
      <c r="E69" s="42" t="str">
        <f t="shared" si="10"/>
        <v>0x26A</v>
      </c>
      <c r="F69" s="99"/>
      <c r="G69" s="547"/>
      <c r="H69" s="254"/>
      <c r="I69" s="258"/>
      <c r="J69" s="254"/>
      <c r="K69" s="255"/>
    </row>
    <row r="70" spans="1:12" x14ac:dyDescent="0.45">
      <c r="A70" s="637"/>
      <c r="B70" s="44">
        <f t="shared" si="11"/>
        <v>11</v>
      </c>
      <c r="C70" s="28" t="str">
        <f t="shared" si="9"/>
        <v>.bit 11</v>
      </c>
      <c r="D70" s="15"/>
      <c r="E70" s="42" t="str">
        <f t="shared" si="10"/>
        <v>0x26B</v>
      </c>
      <c r="F70" s="99"/>
      <c r="G70" s="547"/>
      <c r="H70" s="254"/>
      <c r="I70" s="258"/>
      <c r="J70" s="254"/>
      <c r="K70" s="255"/>
    </row>
    <row r="71" spans="1:12" x14ac:dyDescent="0.45">
      <c r="A71" s="637"/>
      <c r="B71" s="44">
        <f t="shared" si="11"/>
        <v>12</v>
      </c>
      <c r="C71" s="28" t="str">
        <f t="shared" si="9"/>
        <v>.bit 12</v>
      </c>
      <c r="D71" s="15"/>
      <c r="E71" s="42" t="str">
        <f t="shared" si="10"/>
        <v>0x26C</v>
      </c>
      <c r="F71" s="99"/>
      <c r="G71" s="547"/>
      <c r="H71" s="254"/>
      <c r="I71" s="258"/>
      <c r="J71" s="258"/>
      <c r="K71" s="255"/>
    </row>
    <row r="72" spans="1:12" x14ac:dyDescent="0.45">
      <c r="A72" s="637"/>
      <c r="B72" s="44">
        <f t="shared" si="11"/>
        <v>13</v>
      </c>
      <c r="C72" s="28" t="str">
        <f t="shared" si="9"/>
        <v>.bit 13</v>
      </c>
      <c r="D72" s="15"/>
      <c r="E72" s="42" t="str">
        <f t="shared" si="10"/>
        <v>0x26D</v>
      </c>
      <c r="F72" s="99"/>
      <c r="G72" s="547"/>
      <c r="H72" s="254"/>
      <c r="I72" s="258"/>
      <c r="J72" s="258"/>
      <c r="K72" s="255"/>
    </row>
    <row r="73" spans="1:12" x14ac:dyDescent="0.45">
      <c r="A73" s="637"/>
      <c r="B73" s="44">
        <f t="shared" si="11"/>
        <v>14</v>
      </c>
      <c r="C73" s="28" t="str">
        <f t="shared" si="9"/>
        <v>.bit 14</v>
      </c>
      <c r="D73" s="15"/>
      <c r="E73" s="42" t="str">
        <f t="shared" si="10"/>
        <v>0x26E</v>
      </c>
      <c r="F73" s="99"/>
      <c r="G73" s="512"/>
      <c r="H73" s="527"/>
      <c r="I73" s="568"/>
      <c r="J73" s="256"/>
      <c r="K73" s="247"/>
    </row>
    <row r="74" spans="1:12" x14ac:dyDescent="0.45">
      <c r="A74" s="637"/>
      <c r="B74" s="45">
        <f t="shared" si="11"/>
        <v>15</v>
      </c>
      <c r="C74" s="46" t="str">
        <f t="shared" si="9"/>
        <v>.bit 15</v>
      </c>
      <c r="D74" s="80"/>
      <c r="E74" s="48" t="str">
        <f t="shared" si="10"/>
        <v>0x26F</v>
      </c>
      <c r="F74" s="100"/>
      <c r="G74" s="549"/>
      <c r="H74" s="551"/>
      <c r="I74" s="569"/>
      <c r="J74" s="226"/>
      <c r="K74" s="257"/>
    </row>
    <row r="75" spans="1:12" x14ac:dyDescent="0.45">
      <c r="A75" s="637"/>
      <c r="B75" s="43" t="s">
        <v>256</v>
      </c>
      <c r="C75" s="40" t="str">
        <f>CONCATENATE("0x", DEC2HEX(7+HEX2DEC('inicio zonas'!$B$7)))</f>
        <v>0x27</v>
      </c>
      <c r="D75" s="184"/>
      <c r="E75" s="41"/>
      <c r="F75" s="54"/>
      <c r="G75" s="512"/>
      <c r="H75" s="527"/>
      <c r="I75" s="568"/>
      <c r="J75" s="256"/>
      <c r="K75" s="247"/>
    </row>
    <row r="76" spans="1:12" x14ac:dyDescent="0.45">
      <c r="A76" s="637"/>
      <c r="B76" s="44">
        <v>0</v>
      </c>
      <c r="C76" s="28" t="str">
        <f>CONCATENATE(".bit ", B76)</f>
        <v>.bit 0</v>
      </c>
      <c r="D76" s="15" t="s">
        <v>28</v>
      </c>
      <c r="E76" s="42" t="str">
        <f>CONCATENATE($C$75,DEC2HEX(B76))</f>
        <v>0x270</v>
      </c>
      <c r="F76" s="99" t="s">
        <v>154</v>
      </c>
      <c r="G76" s="421" t="s">
        <v>923</v>
      </c>
      <c r="H76" s="269" t="s">
        <v>923</v>
      </c>
      <c r="I76" s="256"/>
      <c r="J76" s="222" t="s">
        <v>921</v>
      </c>
      <c r="K76" s="247">
        <v>0</v>
      </c>
    </row>
    <row r="77" spans="1:12" x14ac:dyDescent="0.45">
      <c r="A77" s="637"/>
      <c r="B77" s="44">
        <f>B76+1</f>
        <v>1</v>
      </c>
      <c r="C77" s="28" t="str">
        <f t="shared" ref="C77:C91" si="12">CONCATENATE(".bit ", B77)</f>
        <v>.bit 1</v>
      </c>
      <c r="D77" s="15" t="s">
        <v>29</v>
      </c>
      <c r="E77" s="42" t="str">
        <f t="shared" ref="E77:E91" si="13">CONCATENATE($C$75,DEC2HEX(B77))</f>
        <v>0x271</v>
      </c>
      <c r="F77" s="99" t="s">
        <v>155</v>
      </c>
      <c r="G77" s="421" t="s">
        <v>923</v>
      </c>
      <c r="H77" s="269" t="s">
        <v>923</v>
      </c>
      <c r="I77" s="256"/>
      <c r="J77" s="222" t="s">
        <v>921</v>
      </c>
      <c r="K77" s="247">
        <v>0</v>
      </c>
    </row>
    <row r="78" spans="1:12" x14ac:dyDescent="0.45">
      <c r="A78" s="637"/>
      <c r="B78" s="44">
        <f t="shared" ref="B78:B91" si="14">B77+1</f>
        <v>2</v>
      </c>
      <c r="C78" s="28" t="str">
        <f t="shared" si="12"/>
        <v>.bit 2</v>
      </c>
      <c r="D78" s="15" t="s">
        <v>30</v>
      </c>
      <c r="E78" s="42" t="str">
        <f t="shared" si="13"/>
        <v>0x272</v>
      </c>
      <c r="F78" s="99" t="s">
        <v>156</v>
      </c>
      <c r="G78" s="421" t="s">
        <v>923</v>
      </c>
      <c r="H78" s="269" t="s">
        <v>923</v>
      </c>
      <c r="I78" s="256"/>
      <c r="J78" s="222" t="s">
        <v>921</v>
      </c>
      <c r="K78" s="247">
        <v>0</v>
      </c>
    </row>
    <row r="79" spans="1:12" x14ac:dyDescent="0.45">
      <c r="A79" s="637"/>
      <c r="B79" s="44">
        <f t="shared" si="14"/>
        <v>3</v>
      </c>
      <c r="C79" s="28" t="str">
        <f t="shared" si="12"/>
        <v>.bit 3</v>
      </c>
      <c r="D79" s="15" t="s">
        <v>218</v>
      </c>
      <c r="E79" s="42" t="str">
        <f t="shared" si="13"/>
        <v>0x273</v>
      </c>
      <c r="F79" s="99" t="s">
        <v>157</v>
      </c>
      <c r="G79" s="421" t="s">
        <v>923</v>
      </c>
      <c r="H79" s="269" t="s">
        <v>923</v>
      </c>
      <c r="I79" s="256"/>
      <c r="J79" s="222" t="s">
        <v>921</v>
      </c>
      <c r="K79" s="247">
        <v>0</v>
      </c>
    </row>
    <row r="80" spans="1:12" x14ac:dyDescent="0.45">
      <c r="A80" s="637"/>
      <c r="B80" s="44">
        <f t="shared" si="14"/>
        <v>4</v>
      </c>
      <c r="C80" s="28" t="str">
        <f t="shared" si="12"/>
        <v>.bit 4</v>
      </c>
      <c r="D80" s="15" t="s">
        <v>503</v>
      </c>
      <c r="E80" s="42" t="str">
        <f t="shared" si="13"/>
        <v>0x274</v>
      </c>
      <c r="F80" s="99" t="s">
        <v>505</v>
      </c>
      <c r="G80" s="421" t="s">
        <v>923</v>
      </c>
      <c r="H80" s="269" t="s">
        <v>923</v>
      </c>
      <c r="I80" s="256"/>
      <c r="J80" s="222" t="s">
        <v>921</v>
      </c>
      <c r="K80" s="247">
        <v>0</v>
      </c>
    </row>
    <row r="81" spans="1:11" x14ac:dyDescent="0.45">
      <c r="A81" s="637"/>
      <c r="B81" s="44">
        <f t="shared" si="14"/>
        <v>5</v>
      </c>
      <c r="C81" s="28" t="str">
        <f t="shared" si="12"/>
        <v>.bit 5</v>
      </c>
      <c r="D81" s="15" t="s">
        <v>504</v>
      </c>
      <c r="E81" s="42" t="str">
        <f t="shared" si="13"/>
        <v>0x275</v>
      </c>
      <c r="F81" s="99" t="s">
        <v>506</v>
      </c>
      <c r="G81" s="421" t="s">
        <v>923</v>
      </c>
      <c r="H81" s="269" t="s">
        <v>923</v>
      </c>
      <c r="I81" s="256"/>
      <c r="J81" s="222" t="s">
        <v>921</v>
      </c>
      <c r="K81" s="247">
        <v>0</v>
      </c>
    </row>
    <row r="82" spans="1:11" x14ac:dyDescent="0.45">
      <c r="A82" s="637"/>
      <c r="B82" s="44">
        <f t="shared" si="14"/>
        <v>6</v>
      </c>
      <c r="C82" s="28" t="str">
        <f t="shared" si="12"/>
        <v>.bit 6</v>
      </c>
      <c r="D82" s="13" t="s">
        <v>217</v>
      </c>
      <c r="E82" s="42" t="str">
        <f t="shared" si="13"/>
        <v>0x276</v>
      </c>
      <c r="F82" s="99" t="s">
        <v>210</v>
      </c>
      <c r="G82" s="421" t="s">
        <v>923</v>
      </c>
      <c r="H82" s="269" t="s">
        <v>923</v>
      </c>
      <c r="I82" s="256"/>
      <c r="J82" s="222" t="s">
        <v>921</v>
      </c>
      <c r="K82" s="247">
        <v>0</v>
      </c>
    </row>
    <row r="83" spans="1:11" x14ac:dyDescent="0.45">
      <c r="A83" s="637"/>
      <c r="B83" s="44">
        <f t="shared" si="14"/>
        <v>7</v>
      </c>
      <c r="C83" s="28" t="str">
        <f t="shared" si="12"/>
        <v>.bit 7</v>
      </c>
      <c r="D83" s="13" t="s">
        <v>211</v>
      </c>
      <c r="E83" s="42" t="str">
        <f t="shared" si="13"/>
        <v>0x277</v>
      </c>
      <c r="F83" s="99" t="s">
        <v>209</v>
      </c>
      <c r="G83" s="421" t="s">
        <v>923</v>
      </c>
      <c r="H83" s="269" t="s">
        <v>923</v>
      </c>
      <c r="I83" s="256"/>
      <c r="J83" s="222" t="s">
        <v>921</v>
      </c>
      <c r="K83" s="247">
        <v>0</v>
      </c>
    </row>
    <row r="84" spans="1:11" x14ac:dyDescent="0.45">
      <c r="A84" s="637"/>
      <c r="B84" s="44">
        <f t="shared" si="14"/>
        <v>8</v>
      </c>
      <c r="C84" s="28" t="str">
        <f t="shared" si="12"/>
        <v>.bit 8</v>
      </c>
      <c r="D84" s="13" t="s">
        <v>212</v>
      </c>
      <c r="E84" s="42" t="str">
        <f t="shared" si="13"/>
        <v>0x278</v>
      </c>
      <c r="F84" s="99" t="s">
        <v>208</v>
      </c>
      <c r="G84" s="421" t="s">
        <v>923</v>
      </c>
      <c r="H84" s="269" t="s">
        <v>923</v>
      </c>
      <c r="I84" s="256"/>
      <c r="J84" s="222" t="s">
        <v>921</v>
      </c>
      <c r="K84" s="247">
        <v>0</v>
      </c>
    </row>
    <row r="85" spans="1:11" x14ac:dyDescent="0.45">
      <c r="A85" s="637"/>
      <c r="B85" s="44">
        <f t="shared" si="14"/>
        <v>9</v>
      </c>
      <c r="C85" s="28" t="str">
        <f t="shared" si="12"/>
        <v>.bit 9</v>
      </c>
      <c r="D85" s="15" t="s">
        <v>456</v>
      </c>
      <c r="E85" s="42" t="str">
        <f t="shared" si="13"/>
        <v>0x279</v>
      </c>
      <c r="F85" s="99" t="s">
        <v>457</v>
      </c>
      <c r="G85" s="421" t="s">
        <v>923</v>
      </c>
      <c r="H85" s="269" t="s">
        <v>923</v>
      </c>
      <c r="I85" s="256"/>
      <c r="J85" s="222" t="s">
        <v>921</v>
      </c>
      <c r="K85" s="247">
        <v>0</v>
      </c>
    </row>
    <row r="86" spans="1:11" x14ac:dyDescent="0.45">
      <c r="A86" s="637"/>
      <c r="B86" s="44">
        <f t="shared" si="14"/>
        <v>10</v>
      </c>
      <c r="C86" s="28" t="str">
        <f t="shared" si="12"/>
        <v>.bit 10</v>
      </c>
      <c r="D86" s="13"/>
      <c r="E86" s="42" t="str">
        <f t="shared" si="13"/>
        <v>0x27A</v>
      </c>
      <c r="F86" s="99"/>
      <c r="G86" s="547"/>
      <c r="H86" s="254"/>
      <c r="I86" s="258"/>
      <c r="J86" s="254"/>
      <c r="K86" s="255"/>
    </row>
    <row r="87" spans="1:11" x14ac:dyDescent="0.45">
      <c r="A87" s="637"/>
      <c r="B87" s="44">
        <f t="shared" si="14"/>
        <v>11</v>
      </c>
      <c r="C87" s="28" t="str">
        <f t="shared" si="12"/>
        <v>.bit 11</v>
      </c>
      <c r="D87" s="13"/>
      <c r="E87" s="42" t="str">
        <f t="shared" si="13"/>
        <v>0x27B</v>
      </c>
      <c r="F87" s="99"/>
      <c r="G87" s="547"/>
      <c r="H87" s="254"/>
      <c r="I87" s="258"/>
      <c r="J87" s="254"/>
      <c r="K87" s="255"/>
    </row>
    <row r="88" spans="1:11" x14ac:dyDescent="0.45">
      <c r="A88" s="637"/>
      <c r="B88" s="44">
        <f t="shared" si="14"/>
        <v>12</v>
      </c>
      <c r="C88" s="28" t="str">
        <f t="shared" si="12"/>
        <v>.bit 12</v>
      </c>
      <c r="D88" s="13"/>
      <c r="E88" s="42" t="str">
        <f t="shared" si="13"/>
        <v>0x27C</v>
      </c>
      <c r="F88" s="99"/>
      <c r="G88" s="547"/>
      <c r="H88" s="254"/>
      <c r="I88" s="258"/>
      <c r="J88" s="258"/>
      <c r="K88" s="255"/>
    </row>
    <row r="89" spans="1:11" x14ac:dyDescent="0.45">
      <c r="A89" s="637"/>
      <c r="B89" s="44">
        <f t="shared" si="14"/>
        <v>13</v>
      </c>
      <c r="C89" s="28" t="str">
        <f t="shared" si="12"/>
        <v>.bit 13</v>
      </c>
      <c r="D89" s="13"/>
      <c r="E89" s="42" t="str">
        <f t="shared" si="13"/>
        <v>0x27D</v>
      </c>
      <c r="F89" s="99"/>
      <c r="G89" s="547"/>
      <c r="H89" s="254"/>
      <c r="I89" s="258"/>
      <c r="J89" s="258"/>
      <c r="K89" s="255"/>
    </row>
    <row r="90" spans="1:11" x14ac:dyDescent="0.45">
      <c r="A90" s="637"/>
      <c r="B90" s="44">
        <f t="shared" si="14"/>
        <v>14</v>
      </c>
      <c r="C90" s="28" t="str">
        <f t="shared" si="12"/>
        <v>.bit 14</v>
      </c>
      <c r="D90" s="13"/>
      <c r="E90" s="42" t="str">
        <f t="shared" si="13"/>
        <v>0x27E</v>
      </c>
      <c r="F90" s="99"/>
      <c r="G90" s="421"/>
      <c r="H90" s="269"/>
      <c r="I90" s="256"/>
      <c r="J90" s="222"/>
      <c r="K90" s="247"/>
    </row>
    <row r="91" spans="1:11" x14ac:dyDescent="0.45">
      <c r="A91" s="637"/>
      <c r="B91" s="45">
        <f t="shared" si="14"/>
        <v>15</v>
      </c>
      <c r="C91" s="46" t="str">
        <f t="shared" si="12"/>
        <v>.bit 15</v>
      </c>
      <c r="D91" s="49"/>
      <c r="E91" s="48" t="str">
        <f t="shared" si="13"/>
        <v>0x27F</v>
      </c>
      <c r="F91" s="100"/>
      <c r="G91" s="421"/>
      <c r="H91" s="269"/>
      <c r="I91" s="256"/>
      <c r="J91" s="222"/>
      <c r="K91" s="247"/>
    </row>
    <row r="92" spans="1:11" x14ac:dyDescent="0.45">
      <c r="A92" s="637"/>
      <c r="B92" s="43" t="s">
        <v>321</v>
      </c>
      <c r="C92" s="40" t="str">
        <f>CONCATENATE("0x", DEC2HEX(8+HEX2DEC('inicio zonas'!$B$7)))</f>
        <v>0x28</v>
      </c>
      <c r="D92" s="184"/>
      <c r="E92" s="41"/>
      <c r="F92" s="54"/>
      <c r="G92" s="509"/>
      <c r="H92" s="524"/>
      <c r="I92" s="570"/>
      <c r="J92" s="228"/>
      <c r="K92" s="245"/>
    </row>
    <row r="93" spans="1:11" x14ac:dyDescent="0.45">
      <c r="A93" s="637"/>
      <c r="B93" s="44">
        <v>0</v>
      </c>
      <c r="C93" s="28" t="str">
        <f>CONCATENATE(".bit ", B93)</f>
        <v>.bit 0</v>
      </c>
      <c r="D93" s="15" t="s">
        <v>113</v>
      </c>
      <c r="E93" s="42" t="str">
        <f>CONCATENATE($C$92,DEC2HEX(B93))</f>
        <v>0x280</v>
      </c>
      <c r="F93" s="99" t="s">
        <v>158</v>
      </c>
      <c r="G93" s="421" t="s">
        <v>923</v>
      </c>
      <c r="H93" s="269" t="s">
        <v>923</v>
      </c>
      <c r="I93" s="256"/>
      <c r="J93" s="222" t="s">
        <v>921</v>
      </c>
      <c r="K93" s="247">
        <v>0</v>
      </c>
    </row>
    <row r="94" spans="1:11" x14ac:dyDescent="0.45">
      <c r="A94" s="637"/>
      <c r="B94" s="44">
        <f>B93+1</f>
        <v>1</v>
      </c>
      <c r="C94" s="28" t="str">
        <f t="shared" ref="C94:C108" si="15">CONCATENATE(".bit ", B94)</f>
        <v>.bit 1</v>
      </c>
      <c r="D94" s="15" t="s">
        <v>114</v>
      </c>
      <c r="E94" s="42" t="str">
        <f t="shared" ref="E94:E108" si="16">CONCATENATE($C$92,DEC2HEX(B94))</f>
        <v>0x281</v>
      </c>
      <c r="F94" s="99" t="s">
        <v>159</v>
      </c>
      <c r="G94" s="421" t="s">
        <v>923</v>
      </c>
      <c r="H94" s="269" t="s">
        <v>923</v>
      </c>
      <c r="I94" s="256"/>
      <c r="J94" s="222" t="s">
        <v>921</v>
      </c>
      <c r="K94" s="247">
        <v>0</v>
      </c>
    </row>
    <row r="95" spans="1:11" x14ac:dyDescent="0.45">
      <c r="A95" s="637"/>
      <c r="B95" s="44">
        <f t="shared" ref="B95:B108" si="17">B94+1</f>
        <v>2</v>
      </c>
      <c r="C95" s="28" t="str">
        <f t="shared" si="15"/>
        <v>.bit 2</v>
      </c>
      <c r="D95" s="15"/>
      <c r="E95" s="42" t="str">
        <f t="shared" si="16"/>
        <v>0x282</v>
      </c>
      <c r="G95" s="512"/>
      <c r="H95" s="527"/>
      <c r="I95" s="568"/>
      <c r="J95" s="256"/>
      <c r="K95" s="247"/>
    </row>
    <row r="96" spans="1:11" x14ac:dyDescent="0.45">
      <c r="A96" s="637"/>
      <c r="B96" s="44">
        <f t="shared" si="17"/>
        <v>3</v>
      </c>
      <c r="C96" s="28" t="str">
        <f t="shared" si="15"/>
        <v>.bit 3</v>
      </c>
      <c r="D96" s="15"/>
      <c r="E96" s="42" t="str">
        <f t="shared" si="16"/>
        <v>0x283</v>
      </c>
      <c r="G96" s="512"/>
      <c r="H96" s="527"/>
      <c r="I96" s="568"/>
      <c r="J96" s="256"/>
      <c r="K96" s="247"/>
    </row>
    <row r="97" spans="1:11" x14ac:dyDescent="0.45">
      <c r="A97" s="637"/>
      <c r="B97" s="44">
        <f t="shared" si="17"/>
        <v>4</v>
      </c>
      <c r="C97" s="28" t="str">
        <f t="shared" si="15"/>
        <v>.bit 4</v>
      </c>
      <c r="D97" s="15"/>
      <c r="E97" s="42" t="str">
        <f t="shared" si="16"/>
        <v>0x284</v>
      </c>
      <c r="F97" s="99"/>
      <c r="G97" s="512"/>
      <c r="H97" s="527"/>
      <c r="I97" s="568"/>
      <c r="J97" s="222"/>
      <c r="K97" s="247"/>
    </row>
    <row r="98" spans="1:11" x14ac:dyDescent="0.45">
      <c r="A98" s="637"/>
      <c r="B98" s="44">
        <f t="shared" si="17"/>
        <v>5</v>
      </c>
      <c r="C98" s="28" t="str">
        <f t="shared" si="15"/>
        <v>.bit 5</v>
      </c>
      <c r="D98" s="15"/>
      <c r="E98" s="42" t="str">
        <f t="shared" si="16"/>
        <v>0x285</v>
      </c>
      <c r="F98" s="99"/>
      <c r="G98" s="421"/>
      <c r="H98" s="269"/>
      <c r="I98" s="256"/>
      <c r="J98" s="222"/>
      <c r="K98" s="247"/>
    </row>
    <row r="99" spans="1:11" x14ac:dyDescent="0.45">
      <c r="A99" s="637"/>
      <c r="B99" s="44">
        <f t="shared" si="17"/>
        <v>6</v>
      </c>
      <c r="C99" s="28" t="str">
        <f t="shared" si="15"/>
        <v>.bit 6</v>
      </c>
      <c r="D99" s="81"/>
      <c r="E99" s="42" t="str">
        <f t="shared" si="16"/>
        <v>0x286</v>
      </c>
      <c r="F99" s="99"/>
      <c r="G99" s="421"/>
      <c r="H99" s="269"/>
      <c r="I99" s="256"/>
      <c r="J99" s="222"/>
      <c r="K99" s="247"/>
    </row>
    <row r="100" spans="1:11" x14ac:dyDescent="0.45">
      <c r="A100" s="637"/>
      <c r="B100" s="44">
        <f t="shared" si="17"/>
        <v>7</v>
      </c>
      <c r="C100" s="28" t="str">
        <f t="shared" si="15"/>
        <v>.bit 7</v>
      </c>
      <c r="D100" s="81"/>
      <c r="E100" s="42" t="str">
        <f t="shared" si="16"/>
        <v>0x287</v>
      </c>
      <c r="F100" s="99"/>
      <c r="G100" s="421"/>
      <c r="H100" s="269"/>
      <c r="I100" s="256"/>
      <c r="J100" s="222"/>
      <c r="K100" s="247"/>
    </row>
    <row r="101" spans="1:11" x14ac:dyDescent="0.45">
      <c r="A101" s="637"/>
      <c r="B101" s="44">
        <f t="shared" si="17"/>
        <v>8</v>
      </c>
      <c r="C101" s="28" t="str">
        <f t="shared" si="15"/>
        <v>.bit 8</v>
      </c>
      <c r="D101" s="15"/>
      <c r="E101" s="42" t="str">
        <f t="shared" si="16"/>
        <v>0x288</v>
      </c>
      <c r="F101" s="99"/>
      <c r="G101" s="421"/>
      <c r="H101" s="269"/>
      <c r="I101" s="256"/>
      <c r="J101" s="222"/>
      <c r="K101" s="247"/>
    </row>
    <row r="102" spans="1:11" x14ac:dyDescent="0.45">
      <c r="A102" s="637"/>
      <c r="B102" s="44">
        <f t="shared" si="17"/>
        <v>9</v>
      </c>
      <c r="C102" s="28" t="str">
        <f t="shared" si="15"/>
        <v>.bit 9</v>
      </c>
      <c r="D102" s="15"/>
      <c r="E102" s="42" t="str">
        <f t="shared" si="16"/>
        <v>0x289</v>
      </c>
      <c r="F102" s="99"/>
      <c r="G102" s="421"/>
      <c r="H102" s="269"/>
      <c r="I102" s="256"/>
      <c r="J102" s="222"/>
      <c r="K102" s="247"/>
    </row>
    <row r="103" spans="1:11" x14ac:dyDescent="0.45">
      <c r="A103" s="637"/>
      <c r="B103" s="44">
        <f t="shared" si="17"/>
        <v>10</v>
      </c>
      <c r="C103" s="28" t="str">
        <f t="shared" si="15"/>
        <v>.bit 10</v>
      </c>
      <c r="D103" s="15"/>
      <c r="E103" s="42" t="str">
        <f t="shared" si="16"/>
        <v>0x28A</v>
      </c>
      <c r="F103" s="99"/>
      <c r="G103" s="421"/>
      <c r="H103" s="269"/>
      <c r="I103" s="256"/>
      <c r="J103" s="222"/>
      <c r="K103" s="247"/>
    </row>
    <row r="104" spans="1:11" x14ac:dyDescent="0.45">
      <c r="A104" s="637"/>
      <c r="B104" s="44">
        <f t="shared" si="17"/>
        <v>11</v>
      </c>
      <c r="C104" s="28" t="str">
        <f t="shared" si="15"/>
        <v>.bit 11</v>
      </c>
      <c r="D104" s="15"/>
      <c r="E104" s="42" t="str">
        <f t="shared" si="16"/>
        <v>0x28B</v>
      </c>
      <c r="F104" s="99"/>
      <c r="G104" s="421"/>
      <c r="H104" s="269"/>
      <c r="I104" s="256"/>
      <c r="J104" s="222"/>
      <c r="K104" s="247"/>
    </row>
    <row r="105" spans="1:11" x14ac:dyDescent="0.45">
      <c r="A105" s="637"/>
      <c r="B105" s="44">
        <f t="shared" si="17"/>
        <v>12</v>
      </c>
      <c r="C105" s="28" t="str">
        <f t="shared" si="15"/>
        <v>.bit 12</v>
      </c>
      <c r="D105" s="15"/>
      <c r="E105" s="42" t="str">
        <f t="shared" si="16"/>
        <v>0x28C</v>
      </c>
      <c r="F105" s="99"/>
      <c r="G105" s="421"/>
      <c r="H105" s="269"/>
      <c r="I105" s="256"/>
      <c r="J105" s="222"/>
      <c r="K105" s="247"/>
    </row>
    <row r="106" spans="1:11" x14ac:dyDescent="0.45">
      <c r="A106" s="637"/>
      <c r="B106" s="44">
        <f t="shared" si="17"/>
        <v>13</v>
      </c>
      <c r="C106" s="28" t="str">
        <f t="shared" si="15"/>
        <v>.bit 13</v>
      </c>
      <c r="D106" s="15"/>
      <c r="E106" s="42" t="str">
        <f t="shared" si="16"/>
        <v>0x28D</v>
      </c>
      <c r="F106" s="99"/>
      <c r="G106" s="421"/>
      <c r="H106" s="269"/>
      <c r="I106" s="256"/>
      <c r="J106" s="222"/>
      <c r="K106" s="247"/>
    </row>
    <row r="107" spans="1:11" x14ac:dyDescent="0.45">
      <c r="A107" s="637"/>
      <c r="B107" s="44">
        <f t="shared" si="17"/>
        <v>14</v>
      </c>
      <c r="C107" s="28" t="str">
        <f t="shared" si="15"/>
        <v>.bit 14</v>
      </c>
      <c r="D107" s="15"/>
      <c r="E107" s="42" t="str">
        <f t="shared" si="16"/>
        <v>0x28E</v>
      </c>
      <c r="F107" s="99"/>
      <c r="G107" s="421"/>
      <c r="H107" s="269"/>
      <c r="I107" s="256"/>
      <c r="J107" s="222"/>
      <c r="K107" s="247"/>
    </row>
    <row r="108" spans="1:11" x14ac:dyDescent="0.45">
      <c r="A108" s="637"/>
      <c r="B108" s="45">
        <f t="shared" si="17"/>
        <v>15</v>
      </c>
      <c r="C108" s="46" t="str">
        <f t="shared" si="15"/>
        <v>.bit 15</v>
      </c>
      <c r="D108" s="80"/>
      <c r="E108" s="42" t="str">
        <f t="shared" si="16"/>
        <v>0x28F</v>
      </c>
      <c r="F108" s="100"/>
      <c r="G108" s="550"/>
      <c r="H108" s="223"/>
      <c r="I108" s="226"/>
      <c r="J108" s="223"/>
      <c r="K108" s="257"/>
    </row>
    <row r="109" spans="1:11" x14ac:dyDescent="0.45">
      <c r="A109" s="637"/>
      <c r="B109" s="43" t="s">
        <v>323</v>
      </c>
      <c r="C109" s="40" t="str">
        <f>CONCATENATE("0x", DEC2HEX(9+HEX2DEC('inicio zonas'!$B$7)))</f>
        <v>0x29</v>
      </c>
      <c r="D109" s="184"/>
      <c r="E109" s="41"/>
      <c r="F109" s="54"/>
      <c r="G109" s="509"/>
      <c r="H109" s="524"/>
      <c r="I109" s="570"/>
      <c r="J109" s="420"/>
      <c r="K109" s="245"/>
    </row>
    <row r="110" spans="1:11" x14ac:dyDescent="0.45">
      <c r="A110" s="637"/>
      <c r="B110" s="44">
        <v>0</v>
      </c>
      <c r="C110" s="28" t="str">
        <f>CONCATENATE(".bit ", B110)</f>
        <v>.bit 0</v>
      </c>
      <c r="D110" s="15" t="s">
        <v>23</v>
      </c>
      <c r="E110" s="42" t="str">
        <f>CONCATENATE($C$109,DEC2HEX(B110))</f>
        <v>0x290</v>
      </c>
      <c r="F110" s="99" t="s">
        <v>147</v>
      </c>
      <c r="G110" s="421" t="s">
        <v>923</v>
      </c>
      <c r="H110" s="269" t="s">
        <v>923</v>
      </c>
      <c r="I110" s="256"/>
      <c r="J110" s="269" t="s">
        <v>921</v>
      </c>
      <c r="K110" s="247">
        <v>0</v>
      </c>
    </row>
    <row r="111" spans="1:11" x14ac:dyDescent="0.45">
      <c r="A111" s="637"/>
      <c r="B111" s="44">
        <f>B110+1</f>
        <v>1</v>
      </c>
      <c r="C111" s="28" t="str">
        <f t="shared" ref="C111:C125" si="18">CONCATENATE(".bit ", B111)</f>
        <v>.bit 1</v>
      </c>
      <c r="D111" s="15" t="s">
        <v>24</v>
      </c>
      <c r="E111" s="42" t="str">
        <f t="shared" ref="E111:E125" si="19">CONCATENATE($C$109,DEC2HEX(B111))</f>
        <v>0x291</v>
      </c>
      <c r="F111" s="99" t="s">
        <v>148</v>
      </c>
      <c r="G111" s="421" t="s">
        <v>923</v>
      </c>
      <c r="H111" s="269" t="s">
        <v>923</v>
      </c>
      <c r="I111" s="256"/>
      <c r="J111" s="269" t="s">
        <v>921</v>
      </c>
      <c r="K111" s="247">
        <v>0</v>
      </c>
    </row>
    <row r="112" spans="1:11" x14ac:dyDescent="0.45">
      <c r="A112" s="637"/>
      <c r="B112" s="44">
        <f t="shared" ref="B112:B125" si="20">B111+1</f>
        <v>2</v>
      </c>
      <c r="C112" s="28" t="str">
        <f t="shared" si="18"/>
        <v>.bit 2</v>
      </c>
      <c r="D112" s="15"/>
      <c r="E112" s="42" t="str">
        <f t="shared" si="19"/>
        <v>0x292</v>
      </c>
      <c r="F112" s="99"/>
      <c r="G112" s="512"/>
      <c r="H112" s="527"/>
      <c r="I112" s="568"/>
      <c r="J112" s="256"/>
      <c r="K112" s="247"/>
    </row>
    <row r="113" spans="1:18" x14ac:dyDescent="0.45">
      <c r="A113" s="637"/>
      <c r="B113" s="44">
        <f t="shared" si="20"/>
        <v>3</v>
      </c>
      <c r="C113" s="28" t="str">
        <f t="shared" si="18"/>
        <v>.bit 3</v>
      </c>
      <c r="D113" s="15"/>
      <c r="E113" s="42" t="str">
        <f t="shared" si="19"/>
        <v>0x293</v>
      </c>
      <c r="F113" s="99"/>
      <c r="G113" s="512"/>
      <c r="H113" s="527"/>
      <c r="I113" s="568"/>
      <c r="J113" s="256"/>
      <c r="K113" s="247"/>
    </row>
    <row r="114" spans="1:18" x14ac:dyDescent="0.45">
      <c r="A114" s="637"/>
      <c r="B114" s="44">
        <f t="shared" si="20"/>
        <v>4</v>
      </c>
      <c r="C114" s="28" t="str">
        <f t="shared" si="18"/>
        <v>.bit 4</v>
      </c>
      <c r="D114" s="15"/>
      <c r="E114" s="42" t="str">
        <f t="shared" si="19"/>
        <v>0x294</v>
      </c>
      <c r="F114" s="99"/>
      <c r="G114" s="512"/>
      <c r="H114" s="527"/>
      <c r="I114" s="568"/>
      <c r="J114" s="269"/>
      <c r="K114" s="247"/>
    </row>
    <row r="115" spans="1:18" x14ac:dyDescent="0.45">
      <c r="A115" s="637"/>
      <c r="B115" s="44">
        <f t="shared" si="20"/>
        <v>5</v>
      </c>
      <c r="C115" s="28" t="str">
        <f t="shared" si="18"/>
        <v>.bit 5</v>
      </c>
      <c r="D115" s="15"/>
      <c r="E115" s="42" t="str">
        <f t="shared" si="19"/>
        <v>0x295</v>
      </c>
      <c r="F115" s="99"/>
      <c r="G115" s="421"/>
      <c r="H115" s="269"/>
      <c r="I115" s="256"/>
      <c r="J115" s="269"/>
      <c r="K115" s="247"/>
    </row>
    <row r="116" spans="1:18" x14ac:dyDescent="0.45">
      <c r="A116" s="637"/>
      <c r="B116" s="44">
        <f t="shared" si="20"/>
        <v>6</v>
      </c>
      <c r="C116" s="28" t="str">
        <f t="shared" si="18"/>
        <v>.bit 6</v>
      </c>
      <c r="D116" s="81"/>
      <c r="E116" s="42" t="str">
        <f t="shared" si="19"/>
        <v>0x296</v>
      </c>
      <c r="F116" s="99"/>
      <c r="G116" s="421"/>
      <c r="H116" s="269"/>
      <c r="I116" s="256"/>
      <c r="J116" s="269"/>
      <c r="K116" s="247"/>
    </row>
    <row r="117" spans="1:18" x14ac:dyDescent="0.45">
      <c r="A117" s="637"/>
      <c r="B117" s="44">
        <f t="shared" si="20"/>
        <v>7</v>
      </c>
      <c r="C117" s="28" t="str">
        <f t="shared" si="18"/>
        <v>.bit 7</v>
      </c>
      <c r="D117" s="21"/>
      <c r="E117" s="42" t="str">
        <f t="shared" si="19"/>
        <v>0x297</v>
      </c>
      <c r="F117" s="99"/>
      <c r="G117" s="421"/>
      <c r="H117" s="269"/>
      <c r="I117" s="256"/>
      <c r="J117" s="269"/>
      <c r="K117" s="247"/>
    </row>
    <row r="118" spans="1:18" x14ac:dyDescent="0.45">
      <c r="A118" s="637"/>
      <c r="B118" s="44">
        <f t="shared" si="20"/>
        <v>8</v>
      </c>
      <c r="C118" s="28" t="str">
        <f t="shared" si="18"/>
        <v>.bit 8</v>
      </c>
      <c r="D118" s="13"/>
      <c r="E118" s="42" t="str">
        <f t="shared" si="19"/>
        <v>0x298</v>
      </c>
      <c r="F118" s="99"/>
      <c r="G118" s="421"/>
      <c r="H118" s="269"/>
      <c r="I118" s="256"/>
      <c r="J118" s="269"/>
      <c r="K118" s="247"/>
    </row>
    <row r="119" spans="1:18" x14ac:dyDescent="0.45">
      <c r="A119" s="637"/>
      <c r="B119" s="44">
        <f t="shared" si="20"/>
        <v>9</v>
      </c>
      <c r="C119" s="28" t="str">
        <f t="shared" si="18"/>
        <v>.bit 9</v>
      </c>
      <c r="D119" s="13"/>
      <c r="E119" s="42" t="str">
        <f t="shared" si="19"/>
        <v>0x299</v>
      </c>
      <c r="F119" s="99"/>
      <c r="G119" s="421"/>
      <c r="H119" s="269"/>
      <c r="I119" s="256"/>
      <c r="J119" s="269"/>
      <c r="K119" s="247"/>
    </row>
    <row r="120" spans="1:18" x14ac:dyDescent="0.45">
      <c r="A120" s="637"/>
      <c r="B120" s="44">
        <f t="shared" si="20"/>
        <v>10</v>
      </c>
      <c r="C120" s="28" t="str">
        <f t="shared" si="18"/>
        <v>.bit 10</v>
      </c>
      <c r="D120" s="13"/>
      <c r="E120" s="42" t="str">
        <f t="shared" si="19"/>
        <v>0x29A</v>
      </c>
      <c r="F120" s="99"/>
      <c r="G120" s="421"/>
      <c r="H120" s="269"/>
      <c r="I120" s="256"/>
      <c r="J120" s="269"/>
      <c r="K120" s="247"/>
    </row>
    <row r="121" spans="1:18" x14ac:dyDescent="0.45">
      <c r="A121" s="637"/>
      <c r="B121" s="44">
        <f t="shared" si="20"/>
        <v>11</v>
      </c>
      <c r="C121" s="28" t="str">
        <f t="shared" si="18"/>
        <v>.bit 11</v>
      </c>
      <c r="D121" s="13"/>
      <c r="E121" s="42" t="str">
        <f t="shared" si="19"/>
        <v>0x29B</v>
      </c>
      <c r="F121" s="99"/>
      <c r="G121" s="421"/>
      <c r="H121" s="269"/>
      <c r="I121" s="256"/>
      <c r="J121" s="269"/>
      <c r="K121" s="247"/>
    </row>
    <row r="122" spans="1:18" x14ac:dyDescent="0.45">
      <c r="A122" s="637"/>
      <c r="B122" s="44">
        <f t="shared" si="20"/>
        <v>12</v>
      </c>
      <c r="C122" s="28" t="str">
        <f t="shared" si="18"/>
        <v>.bit 12</v>
      </c>
      <c r="D122" s="13"/>
      <c r="E122" s="42" t="str">
        <f t="shared" si="19"/>
        <v>0x29C</v>
      </c>
      <c r="F122" s="99"/>
      <c r="G122" s="421"/>
      <c r="H122" s="269"/>
      <c r="I122" s="256"/>
      <c r="J122" s="269"/>
      <c r="K122" s="247"/>
      <c r="M122" s="81"/>
      <c r="N122" s="81"/>
      <c r="O122" s="81"/>
      <c r="P122" s="81"/>
      <c r="Q122" s="81"/>
      <c r="R122" s="81"/>
    </row>
    <row r="123" spans="1:18" x14ac:dyDescent="0.45">
      <c r="A123" s="637"/>
      <c r="B123" s="44">
        <f t="shared" si="20"/>
        <v>13</v>
      </c>
      <c r="C123" s="28" t="str">
        <f t="shared" si="18"/>
        <v>.bit 13</v>
      </c>
      <c r="D123" s="13"/>
      <c r="E123" s="42" t="str">
        <f t="shared" si="19"/>
        <v>0x29D</v>
      </c>
      <c r="F123" s="99"/>
      <c r="G123" s="421"/>
      <c r="H123" s="269"/>
      <c r="I123" s="256"/>
      <c r="J123" s="269"/>
      <c r="K123" s="247"/>
      <c r="M123" s="81"/>
      <c r="N123" s="81"/>
      <c r="O123" s="81"/>
      <c r="P123" s="81"/>
      <c r="Q123" s="81"/>
      <c r="R123" s="81"/>
    </row>
    <row r="124" spans="1:18" x14ac:dyDescent="0.45">
      <c r="A124" s="637"/>
      <c r="B124" s="44">
        <f t="shared" si="20"/>
        <v>14</v>
      </c>
      <c r="C124" s="28" t="str">
        <f t="shared" si="18"/>
        <v>.bit 14</v>
      </c>
      <c r="D124" s="13"/>
      <c r="E124" s="42" t="str">
        <f t="shared" si="19"/>
        <v>0x29E</v>
      </c>
      <c r="F124" s="99"/>
      <c r="G124" s="421"/>
      <c r="H124" s="269"/>
      <c r="I124" s="256"/>
      <c r="J124" s="269"/>
      <c r="K124" s="247"/>
      <c r="L124" s="21"/>
      <c r="M124" s="81"/>
      <c r="N124" s="81"/>
      <c r="O124" s="81"/>
      <c r="P124" s="81"/>
      <c r="Q124" s="81"/>
      <c r="R124" s="81"/>
    </row>
    <row r="125" spans="1:18" x14ac:dyDescent="0.45">
      <c r="A125" s="637"/>
      <c r="B125" s="45">
        <f t="shared" si="20"/>
        <v>15</v>
      </c>
      <c r="C125" s="46" t="str">
        <f t="shared" si="18"/>
        <v>.bit 15</v>
      </c>
      <c r="D125" s="49"/>
      <c r="E125" s="42" t="str">
        <f t="shared" si="19"/>
        <v>0x29F</v>
      </c>
      <c r="F125" s="100"/>
      <c r="G125" s="421"/>
      <c r="H125" s="269"/>
      <c r="I125" s="256"/>
      <c r="J125" s="269"/>
      <c r="K125" s="247"/>
      <c r="L125" s="21"/>
      <c r="M125" s="81"/>
      <c r="N125" s="81"/>
      <c r="O125" s="81"/>
      <c r="P125" s="81"/>
      <c r="Q125" s="81"/>
      <c r="R125" s="81"/>
    </row>
    <row r="126" spans="1:18" x14ac:dyDescent="0.45">
      <c r="A126" s="637"/>
      <c r="B126" s="473" t="s">
        <v>398</v>
      </c>
      <c r="C126" s="362" t="str">
        <f>CONCATENATE("0x", DEC2HEX(10+HEX2DEC('[1]inicio zonas'!$B$7)))</f>
        <v>0x2A</v>
      </c>
      <c r="D126" s="474"/>
      <c r="E126" s="475"/>
      <c r="F126" s="476"/>
      <c r="G126" s="545"/>
      <c r="H126" s="369"/>
      <c r="I126" s="420"/>
      <c r="J126" s="369"/>
      <c r="K126" s="245"/>
      <c r="L126" s="478"/>
      <c r="M126" s="344"/>
      <c r="N126" s="81"/>
      <c r="O126" s="81"/>
      <c r="P126" s="81"/>
      <c r="Q126" s="81"/>
      <c r="R126" s="81"/>
    </row>
    <row r="127" spans="1:18" x14ac:dyDescent="0.45">
      <c r="A127" s="637"/>
      <c r="B127" s="355">
        <v>0</v>
      </c>
      <c r="C127" s="28" t="str">
        <f>CONCATENATE(".bit ", B127)</f>
        <v>.bit 0</v>
      </c>
      <c r="D127" s="13" t="s">
        <v>400</v>
      </c>
      <c r="E127" s="42" t="str">
        <f>CONCATENATE($C$139,DEC2HEX(B127))</f>
        <v>.bit 120</v>
      </c>
      <c r="F127" s="274"/>
      <c r="G127" s="421" t="s">
        <v>923</v>
      </c>
      <c r="H127" s="269" t="s">
        <v>923</v>
      </c>
      <c r="I127" s="256"/>
      <c r="J127" s="269" t="s">
        <v>921</v>
      </c>
      <c r="K127" s="247">
        <v>0</v>
      </c>
      <c r="L127" s="21"/>
      <c r="M127" s="81"/>
      <c r="N127" s="81"/>
      <c r="O127" s="85"/>
      <c r="P127" s="81"/>
      <c r="Q127" s="81"/>
      <c r="R127" s="81"/>
    </row>
    <row r="128" spans="1:18" x14ac:dyDescent="0.45">
      <c r="A128" s="637"/>
      <c r="B128" s="355">
        <f>B127+1</f>
        <v>1</v>
      </c>
      <c r="C128" s="28" t="str">
        <f t="shared" ref="C128:C142" si="21">CONCATENATE(".bit ", B128)</f>
        <v>.bit 1</v>
      </c>
      <c r="D128" s="13" t="s">
        <v>702</v>
      </c>
      <c r="E128" s="42" t="str">
        <f t="shared" ref="E128:E142" si="22">CONCATENATE($C$139,DEC2HEX(B128))</f>
        <v>.bit 121</v>
      </c>
      <c r="F128" s="274"/>
      <c r="G128" s="421" t="s">
        <v>923</v>
      </c>
      <c r="H128" s="269" t="s">
        <v>923</v>
      </c>
      <c r="I128" s="256"/>
      <c r="J128" s="269" t="s">
        <v>921</v>
      </c>
      <c r="K128" s="247">
        <v>0</v>
      </c>
      <c r="L128" s="21"/>
      <c r="M128" s="81"/>
      <c r="N128" s="81"/>
      <c r="O128" s="85"/>
      <c r="P128" s="81"/>
      <c r="Q128" s="81"/>
      <c r="R128" s="81"/>
    </row>
    <row r="129" spans="1:18" x14ac:dyDescent="0.45">
      <c r="A129" s="637"/>
      <c r="B129" s="355">
        <f t="shared" ref="B129:B142" si="23">B128+1</f>
        <v>2</v>
      </c>
      <c r="C129" s="28" t="str">
        <f t="shared" si="21"/>
        <v>.bit 2</v>
      </c>
      <c r="D129" s="13"/>
      <c r="E129" s="42" t="str">
        <f t="shared" si="22"/>
        <v>.bit 122</v>
      </c>
      <c r="F129" s="279"/>
      <c r="G129" s="421"/>
      <c r="H129" s="269"/>
      <c r="I129" s="256"/>
      <c r="J129" s="269"/>
      <c r="K129" s="247"/>
      <c r="L129" s="478"/>
      <c r="M129" s="344"/>
      <c r="N129" s="81"/>
      <c r="O129" s="81"/>
      <c r="P129" s="81"/>
      <c r="Q129" s="81"/>
      <c r="R129" s="81"/>
    </row>
    <row r="130" spans="1:18" x14ac:dyDescent="0.45">
      <c r="A130" s="637"/>
      <c r="B130" s="355">
        <f t="shared" si="23"/>
        <v>3</v>
      </c>
      <c r="C130" s="28" t="str">
        <f t="shared" si="21"/>
        <v>.bit 3</v>
      </c>
      <c r="D130" s="13"/>
      <c r="E130" s="42" t="str">
        <f t="shared" si="22"/>
        <v>.bit 123</v>
      </c>
      <c r="F130" s="279"/>
      <c r="G130" s="421"/>
      <c r="H130" s="269"/>
      <c r="I130" s="256"/>
      <c r="J130" s="269"/>
      <c r="K130" s="247"/>
      <c r="L130" s="478"/>
      <c r="M130" s="344"/>
      <c r="N130" s="81"/>
      <c r="O130" s="81"/>
      <c r="P130" s="81"/>
      <c r="Q130" s="81"/>
      <c r="R130" s="81"/>
    </row>
    <row r="131" spans="1:18" x14ac:dyDescent="0.45">
      <c r="A131" s="637"/>
      <c r="B131" s="355">
        <f t="shared" si="23"/>
        <v>4</v>
      </c>
      <c r="C131" s="28" t="str">
        <f t="shared" si="21"/>
        <v>.bit 4</v>
      </c>
      <c r="D131" s="13"/>
      <c r="E131" s="42" t="str">
        <f t="shared" si="22"/>
        <v>.bit 124</v>
      </c>
      <c r="F131" s="279"/>
      <c r="G131" s="421"/>
      <c r="H131" s="269"/>
      <c r="I131" s="256"/>
      <c r="J131" s="269"/>
      <c r="K131" s="247"/>
      <c r="L131" s="478"/>
      <c r="M131" s="344"/>
      <c r="N131" s="81"/>
      <c r="O131" s="81"/>
      <c r="P131" s="81"/>
      <c r="Q131" s="81"/>
      <c r="R131" s="81"/>
    </row>
    <row r="132" spans="1:18" x14ac:dyDescent="0.45">
      <c r="A132" s="637"/>
      <c r="B132" s="355">
        <f t="shared" si="23"/>
        <v>5</v>
      </c>
      <c r="C132" s="28" t="str">
        <f t="shared" si="21"/>
        <v>.bit 5</v>
      </c>
      <c r="D132" s="13"/>
      <c r="E132" s="42" t="str">
        <f t="shared" si="22"/>
        <v>.bit 125</v>
      </c>
      <c r="F132" s="279"/>
      <c r="G132" s="421"/>
      <c r="H132" s="269"/>
      <c r="I132" s="256"/>
      <c r="J132" s="269"/>
      <c r="K132" s="247"/>
      <c r="L132" s="478"/>
      <c r="M132" s="20"/>
      <c r="N132" s="21"/>
      <c r="O132" s="21"/>
      <c r="P132" s="21"/>
      <c r="Q132" s="21"/>
    </row>
    <row r="133" spans="1:18" x14ac:dyDescent="0.45">
      <c r="A133" s="637"/>
      <c r="B133" s="355">
        <f t="shared" si="23"/>
        <v>6</v>
      </c>
      <c r="C133" s="28" t="str">
        <f t="shared" si="21"/>
        <v>.bit 6</v>
      </c>
      <c r="D133" s="13"/>
      <c r="E133" s="42" t="str">
        <f t="shared" si="22"/>
        <v>.bit 126</v>
      </c>
      <c r="F133" s="279"/>
      <c r="G133" s="421"/>
      <c r="H133" s="269"/>
      <c r="I133" s="256"/>
      <c r="J133" s="269"/>
      <c r="K133" s="247"/>
      <c r="L133" s="478"/>
      <c r="M133" s="20"/>
      <c r="N133" s="21"/>
      <c r="O133" s="21"/>
      <c r="P133" s="21"/>
      <c r="Q133" s="21"/>
    </row>
    <row r="134" spans="1:18" x14ac:dyDescent="0.45">
      <c r="A134" s="637"/>
      <c r="B134" s="355">
        <f t="shared" si="23"/>
        <v>7</v>
      </c>
      <c r="C134" s="28" t="str">
        <f t="shared" si="21"/>
        <v>.bit 7</v>
      </c>
      <c r="D134" s="13"/>
      <c r="E134" s="42" t="str">
        <f t="shared" si="22"/>
        <v>.bit 127</v>
      </c>
      <c r="F134" s="279"/>
      <c r="G134" s="421"/>
      <c r="H134" s="269"/>
      <c r="I134" s="256"/>
      <c r="J134" s="269"/>
      <c r="K134" s="247"/>
      <c r="L134" s="478"/>
      <c r="M134" s="20"/>
      <c r="N134" s="21"/>
      <c r="O134" s="21"/>
      <c r="P134" s="21"/>
      <c r="Q134" s="21"/>
    </row>
    <row r="135" spans="1:18" x14ac:dyDescent="0.45">
      <c r="A135" s="637"/>
      <c r="B135" s="355">
        <f t="shared" si="23"/>
        <v>8</v>
      </c>
      <c r="C135" s="28" t="str">
        <f t="shared" si="21"/>
        <v>.bit 8</v>
      </c>
      <c r="D135" s="13"/>
      <c r="E135" s="42" t="str">
        <f t="shared" si="22"/>
        <v>.bit 128</v>
      </c>
      <c r="F135" s="279"/>
      <c r="G135" s="421"/>
      <c r="H135" s="269"/>
      <c r="I135" s="256"/>
      <c r="J135" s="269"/>
      <c r="K135" s="247"/>
      <c r="L135" s="478"/>
      <c r="M135" s="20"/>
      <c r="N135" s="21"/>
      <c r="O135" s="21"/>
      <c r="P135" s="21"/>
      <c r="Q135" s="21"/>
    </row>
    <row r="136" spans="1:18" x14ac:dyDescent="0.45">
      <c r="A136" s="637"/>
      <c r="B136" s="355">
        <f t="shared" si="23"/>
        <v>9</v>
      </c>
      <c r="C136" s="28" t="str">
        <f t="shared" si="21"/>
        <v>.bit 9</v>
      </c>
      <c r="D136" s="13"/>
      <c r="E136" s="42" t="str">
        <f t="shared" si="22"/>
        <v>.bit 129</v>
      </c>
      <c r="F136" s="279"/>
      <c r="G136" s="421"/>
      <c r="H136" s="269"/>
      <c r="I136" s="256"/>
      <c r="J136" s="269"/>
      <c r="K136" s="247"/>
      <c r="L136" s="478"/>
      <c r="M136" s="20"/>
      <c r="N136" s="21"/>
      <c r="O136" s="21"/>
      <c r="P136" s="21"/>
      <c r="Q136" s="21"/>
    </row>
    <row r="137" spans="1:18" x14ac:dyDescent="0.45">
      <c r="A137" s="637"/>
      <c r="B137" s="355">
        <f t="shared" si="23"/>
        <v>10</v>
      </c>
      <c r="C137" s="28" t="str">
        <f t="shared" si="21"/>
        <v>.bit 10</v>
      </c>
      <c r="D137" s="13"/>
      <c r="E137" s="42" t="str">
        <f t="shared" si="22"/>
        <v>.bit 12A</v>
      </c>
      <c r="F137" s="279"/>
      <c r="G137" s="421"/>
      <c r="H137" s="269"/>
      <c r="I137" s="256"/>
      <c r="J137" s="269"/>
      <c r="K137" s="247"/>
      <c r="L137" s="478"/>
      <c r="M137" s="20"/>
      <c r="N137" s="21"/>
      <c r="O137" s="21"/>
      <c r="P137" s="21"/>
      <c r="Q137" s="21"/>
    </row>
    <row r="138" spans="1:18" x14ac:dyDescent="0.45">
      <c r="A138" s="637"/>
      <c r="B138" s="355">
        <f t="shared" si="23"/>
        <v>11</v>
      </c>
      <c r="C138" s="28" t="str">
        <f t="shared" si="21"/>
        <v>.bit 11</v>
      </c>
      <c r="D138" s="13"/>
      <c r="E138" s="42" t="str">
        <f t="shared" si="22"/>
        <v>.bit 12B</v>
      </c>
      <c r="F138" s="279"/>
      <c r="G138" s="421"/>
      <c r="H138" s="269"/>
      <c r="I138" s="256"/>
      <c r="J138" s="269"/>
      <c r="K138" s="247"/>
      <c r="L138" s="478"/>
      <c r="M138" s="20"/>
      <c r="N138" s="21"/>
      <c r="O138" s="21"/>
      <c r="P138" s="21"/>
      <c r="Q138" s="21"/>
    </row>
    <row r="139" spans="1:18" x14ac:dyDescent="0.45">
      <c r="A139" s="637"/>
      <c r="B139" s="355">
        <f t="shared" si="23"/>
        <v>12</v>
      </c>
      <c r="C139" s="28" t="str">
        <f t="shared" si="21"/>
        <v>.bit 12</v>
      </c>
      <c r="D139" s="13"/>
      <c r="E139" s="42" t="str">
        <f t="shared" si="22"/>
        <v>.bit 12C</v>
      </c>
      <c r="F139" s="279"/>
      <c r="G139" s="421"/>
      <c r="H139" s="269"/>
      <c r="I139" s="256"/>
      <c r="J139" s="269"/>
      <c r="K139" s="247"/>
      <c r="L139" s="478"/>
      <c r="M139" s="20"/>
      <c r="N139" s="21"/>
      <c r="O139" s="21"/>
      <c r="P139" s="21"/>
      <c r="Q139" s="21"/>
    </row>
    <row r="140" spans="1:18" x14ac:dyDescent="0.45">
      <c r="A140" s="637"/>
      <c r="B140" s="355">
        <f t="shared" si="23"/>
        <v>13</v>
      </c>
      <c r="C140" s="28" t="str">
        <f t="shared" si="21"/>
        <v>.bit 13</v>
      </c>
      <c r="D140" s="13"/>
      <c r="E140" s="42" t="str">
        <f t="shared" si="22"/>
        <v>.bit 12D</v>
      </c>
      <c r="F140" s="279"/>
      <c r="G140" s="421"/>
      <c r="H140" s="269"/>
      <c r="I140" s="256"/>
      <c r="J140" s="269"/>
      <c r="K140" s="247"/>
      <c r="L140" s="478"/>
      <c r="M140" s="20"/>
      <c r="N140" s="21"/>
      <c r="O140" s="21"/>
      <c r="P140" s="21"/>
      <c r="Q140" s="21"/>
    </row>
    <row r="141" spans="1:18" x14ac:dyDescent="0.45">
      <c r="A141" s="637"/>
      <c r="B141" s="355">
        <f t="shared" si="23"/>
        <v>14</v>
      </c>
      <c r="C141" s="28" t="str">
        <f t="shared" si="21"/>
        <v>.bit 14</v>
      </c>
      <c r="D141" s="13"/>
      <c r="E141" s="42" t="str">
        <f t="shared" si="22"/>
        <v>.bit 12E</v>
      </c>
      <c r="F141" s="275"/>
      <c r="G141" s="421"/>
      <c r="H141" s="269"/>
      <c r="I141" s="256"/>
      <c r="J141" s="269"/>
      <c r="K141" s="247"/>
      <c r="L141" s="471"/>
      <c r="M141" s="20"/>
      <c r="N141" s="21"/>
      <c r="O141" s="21"/>
      <c r="P141" s="21"/>
      <c r="Q141" s="21"/>
    </row>
    <row r="142" spans="1:18" x14ac:dyDescent="0.45">
      <c r="A142" s="638"/>
      <c r="B142" s="45">
        <f t="shared" si="23"/>
        <v>15</v>
      </c>
      <c r="C142" s="46" t="str">
        <f t="shared" si="21"/>
        <v>.bit 15</v>
      </c>
      <c r="D142" s="49"/>
      <c r="E142" s="42" t="str">
        <f t="shared" si="22"/>
        <v>.bit 12F</v>
      </c>
      <c r="F142" s="151"/>
      <c r="G142" s="550"/>
      <c r="H142" s="223"/>
      <c r="I142" s="226"/>
      <c r="J142" s="223"/>
      <c r="K142" s="257"/>
      <c r="L142" s="471"/>
      <c r="M142" s="20"/>
      <c r="N142" s="21"/>
      <c r="O142" s="21"/>
      <c r="P142" s="21"/>
      <c r="Q142" s="21"/>
    </row>
    <row r="143" spans="1:18" x14ac:dyDescent="0.45">
      <c r="B143" s="21"/>
      <c r="C143" s="21"/>
      <c r="D143" s="21"/>
      <c r="E143" s="25"/>
      <c r="G143" s="421"/>
      <c r="H143" s="273"/>
      <c r="I143" s="25"/>
      <c r="J143" s="21"/>
      <c r="K143" s="21"/>
      <c r="L143" s="21"/>
      <c r="M143" s="21"/>
      <c r="N143" s="21"/>
      <c r="O143" s="21"/>
      <c r="P143" s="21"/>
      <c r="Q143" s="21"/>
    </row>
    <row r="144" spans="1:18" x14ac:dyDescent="0.45">
      <c r="B144" s="21"/>
      <c r="C144" s="21"/>
      <c r="D144" s="21"/>
      <c r="E144" s="25"/>
      <c r="G144" s="421"/>
      <c r="H144" s="273"/>
      <c r="I144" s="25"/>
      <c r="J144" s="21"/>
      <c r="K144" s="263"/>
    </row>
    <row r="145" spans="1:12" x14ac:dyDescent="0.45">
      <c r="B145" s="21"/>
      <c r="C145" s="21"/>
      <c r="D145" s="21"/>
      <c r="E145" s="25"/>
      <c r="G145" s="421"/>
      <c r="H145" s="273"/>
      <c r="I145" s="25"/>
      <c r="J145" s="21"/>
      <c r="K145" s="263"/>
    </row>
    <row r="146" spans="1:12" x14ac:dyDescent="0.45">
      <c r="A146" s="636" t="s">
        <v>132</v>
      </c>
      <c r="B146" s="54" t="s">
        <v>126</v>
      </c>
      <c r="C146" s="40" t="str">
        <f>CONCATENATE("0x", DEC2HEX(HEX2DEC('inicio zonas'!$B$8)))</f>
        <v>0x30</v>
      </c>
      <c r="D146" s="454"/>
      <c r="E146" s="52"/>
      <c r="F146" s="356"/>
      <c r="G146" s="545"/>
      <c r="H146" s="369"/>
      <c r="I146" s="420"/>
      <c r="J146" s="369"/>
      <c r="K146" s="369"/>
    </row>
    <row r="147" spans="1:12" x14ac:dyDescent="0.45">
      <c r="A147" s="637"/>
      <c r="B147" s="44">
        <v>0</v>
      </c>
      <c r="C147" s="28" t="str">
        <f>CONCATENATE(".bit ", B147)</f>
        <v>.bit 0</v>
      </c>
      <c r="D147" s="81" t="s">
        <v>310</v>
      </c>
      <c r="E147" s="42" t="str">
        <f>CONCATENATE($C$146,DEC2HEX(B147))</f>
        <v>0x300</v>
      </c>
      <c r="F147" s="273" t="s">
        <v>636</v>
      </c>
      <c r="G147" s="246" t="s">
        <v>923</v>
      </c>
      <c r="H147" s="269" t="s">
        <v>923</v>
      </c>
      <c r="I147" s="256"/>
      <c r="J147" s="269" t="s">
        <v>921</v>
      </c>
      <c r="K147" s="269">
        <v>0</v>
      </c>
    </row>
    <row r="148" spans="1:12" x14ac:dyDescent="0.45">
      <c r="A148" s="637"/>
      <c r="B148" s="44">
        <f>B147+1</f>
        <v>1</v>
      </c>
      <c r="C148" s="28" t="str">
        <f t="shared" ref="C148:C162" si="24">CONCATENATE(".bit ", B148)</f>
        <v>.bit 1</v>
      </c>
      <c r="D148" s="128"/>
      <c r="E148" s="42" t="str">
        <f t="shared" ref="E148:E162" si="25">CONCATENATE($C$146,DEC2HEX(B148))</f>
        <v>0x301</v>
      </c>
      <c r="F148" s="541"/>
      <c r="G148" s="246"/>
      <c r="H148" s="269"/>
      <c r="I148" s="256"/>
      <c r="J148" s="269"/>
      <c r="K148" s="269"/>
    </row>
    <row r="149" spans="1:12" x14ac:dyDescent="0.45">
      <c r="A149" s="637"/>
      <c r="B149" s="44">
        <f t="shared" ref="B149:B162" si="26">B148+1</f>
        <v>2</v>
      </c>
      <c r="C149" s="28" t="str">
        <f t="shared" si="24"/>
        <v>.bit 2</v>
      </c>
      <c r="D149" s="81" t="s">
        <v>317</v>
      </c>
      <c r="E149" s="42" t="str">
        <f t="shared" si="25"/>
        <v>0x302</v>
      </c>
      <c r="F149" s="273" t="s">
        <v>637</v>
      </c>
      <c r="G149" s="246" t="s">
        <v>923</v>
      </c>
      <c r="H149" s="269" t="s">
        <v>923</v>
      </c>
      <c r="I149" s="256"/>
      <c r="J149" s="269" t="s">
        <v>921</v>
      </c>
      <c r="K149" s="269">
        <v>0</v>
      </c>
    </row>
    <row r="150" spans="1:12" x14ac:dyDescent="0.45">
      <c r="A150" s="637"/>
      <c r="B150" s="44">
        <f t="shared" si="26"/>
        <v>3</v>
      </c>
      <c r="C150" s="28" t="str">
        <f t="shared" si="24"/>
        <v>.bit 3</v>
      </c>
      <c r="D150" s="128"/>
      <c r="E150" s="42" t="str">
        <f t="shared" si="25"/>
        <v>0x303</v>
      </c>
      <c r="F150" s="541"/>
      <c r="G150" s="246"/>
      <c r="H150" s="269"/>
      <c r="I150" s="256"/>
      <c r="J150" s="269"/>
      <c r="K150" s="269"/>
    </row>
    <row r="151" spans="1:12" x14ac:dyDescent="0.45">
      <c r="A151" s="637"/>
      <c r="B151" s="44">
        <f t="shared" si="26"/>
        <v>4</v>
      </c>
      <c r="C151" s="28" t="str">
        <f t="shared" si="24"/>
        <v>.bit 4</v>
      </c>
      <c r="D151" s="81"/>
      <c r="E151" s="42" t="str">
        <f t="shared" si="25"/>
        <v>0x304</v>
      </c>
      <c r="F151" s="273"/>
      <c r="G151" s="248"/>
      <c r="H151" s="249"/>
      <c r="I151" s="251"/>
      <c r="J151" s="251"/>
      <c r="K151" s="249"/>
    </row>
    <row r="152" spans="1:12" x14ac:dyDescent="0.45">
      <c r="A152" s="637"/>
      <c r="B152" s="44">
        <f t="shared" si="26"/>
        <v>5</v>
      </c>
      <c r="C152" s="28" t="str">
        <f t="shared" si="24"/>
        <v>.bit 5</v>
      </c>
      <c r="D152" s="128"/>
      <c r="E152" s="42" t="str">
        <f t="shared" si="25"/>
        <v>0x305</v>
      </c>
      <c r="F152" s="276"/>
      <c r="G152" s="248"/>
      <c r="H152" s="249"/>
      <c r="I152" s="251"/>
      <c r="J152" s="249"/>
      <c r="K152" s="249"/>
    </row>
    <row r="153" spans="1:12" x14ac:dyDescent="0.45">
      <c r="A153" s="637"/>
      <c r="B153" s="44">
        <f t="shared" si="26"/>
        <v>6</v>
      </c>
      <c r="C153" s="28" t="str">
        <f t="shared" si="24"/>
        <v>.bit 6</v>
      </c>
      <c r="D153" s="81" t="s">
        <v>899</v>
      </c>
      <c r="E153" s="42" t="str">
        <f t="shared" si="25"/>
        <v>0x306</v>
      </c>
      <c r="F153" s="542" t="s">
        <v>900</v>
      </c>
      <c r="G153" s="246" t="s">
        <v>923</v>
      </c>
      <c r="H153" s="269" t="s">
        <v>923</v>
      </c>
      <c r="I153" s="256" t="s">
        <v>655</v>
      </c>
      <c r="J153" s="269" t="s">
        <v>921</v>
      </c>
      <c r="K153" s="269">
        <v>0</v>
      </c>
    </row>
    <row r="154" spans="1:12" x14ac:dyDescent="0.45">
      <c r="A154" s="637"/>
      <c r="B154" s="44">
        <f t="shared" si="26"/>
        <v>7</v>
      </c>
      <c r="C154" s="28" t="str">
        <f t="shared" si="24"/>
        <v>.bit 7</v>
      </c>
      <c r="D154" s="21"/>
      <c r="E154" s="42" t="str">
        <f t="shared" si="25"/>
        <v>0x307</v>
      </c>
      <c r="F154" s="543"/>
      <c r="G154" s="246"/>
      <c r="H154" s="269"/>
      <c r="I154" s="256"/>
      <c r="J154" s="269"/>
      <c r="K154" s="269"/>
    </row>
    <row r="155" spans="1:12" x14ac:dyDescent="0.45">
      <c r="A155" s="637"/>
      <c r="B155" s="44">
        <f t="shared" si="26"/>
        <v>8</v>
      </c>
      <c r="C155" s="28" t="str">
        <f t="shared" si="24"/>
        <v>.bit 8</v>
      </c>
      <c r="D155" s="21"/>
      <c r="E155" s="42" t="str">
        <f t="shared" si="25"/>
        <v>0x308</v>
      </c>
      <c r="F155" s="543"/>
      <c r="G155" s="246"/>
      <c r="H155" s="269"/>
      <c r="I155" s="256"/>
      <c r="J155" s="269"/>
      <c r="K155" s="269"/>
    </row>
    <row r="156" spans="1:12" x14ac:dyDescent="0.45">
      <c r="A156" s="637"/>
      <c r="B156" s="44">
        <f t="shared" si="26"/>
        <v>9</v>
      </c>
      <c r="C156" s="28" t="str">
        <f t="shared" si="24"/>
        <v>.bit 9</v>
      </c>
      <c r="D156" s="21"/>
      <c r="E156" s="42" t="str">
        <f t="shared" si="25"/>
        <v>0x309</v>
      </c>
      <c r="F156" s="273"/>
      <c r="G156" s="246"/>
      <c r="H156" s="269"/>
      <c r="I156" s="256"/>
      <c r="J156" s="269"/>
      <c r="K156" s="269"/>
    </row>
    <row r="157" spans="1:12" x14ac:dyDescent="0.45">
      <c r="A157" s="637"/>
      <c r="B157" s="44">
        <f t="shared" si="26"/>
        <v>10</v>
      </c>
      <c r="C157" s="28" t="str">
        <f t="shared" si="24"/>
        <v>.bit 10</v>
      </c>
      <c r="D157" s="21"/>
      <c r="E157" s="42" t="str">
        <f t="shared" si="25"/>
        <v>0x30A</v>
      </c>
      <c r="F157" s="273"/>
      <c r="G157" s="246"/>
      <c r="H157" s="269"/>
      <c r="I157" s="256"/>
      <c r="J157" s="269"/>
      <c r="K157" s="269"/>
    </row>
    <row r="158" spans="1:12" x14ac:dyDescent="0.45">
      <c r="A158" s="637"/>
      <c r="B158" s="44">
        <f t="shared" si="26"/>
        <v>11</v>
      </c>
      <c r="C158" s="28" t="str">
        <f t="shared" si="24"/>
        <v>.bit 11</v>
      </c>
      <c r="D158" s="21"/>
      <c r="E158" s="42" t="str">
        <f t="shared" si="25"/>
        <v>0x30B</v>
      </c>
      <c r="F158" s="273"/>
      <c r="G158" s="246"/>
      <c r="H158" s="269"/>
      <c r="I158" s="256"/>
      <c r="J158" s="269"/>
      <c r="K158" s="269"/>
    </row>
    <row r="159" spans="1:12" x14ac:dyDescent="0.45">
      <c r="A159" s="637"/>
      <c r="B159" s="44">
        <f t="shared" si="26"/>
        <v>12</v>
      </c>
      <c r="C159" s="28" t="str">
        <f t="shared" si="24"/>
        <v>.bit 12</v>
      </c>
      <c r="D159" s="21"/>
      <c r="E159" s="42" t="str">
        <f t="shared" si="25"/>
        <v>0x30C</v>
      </c>
      <c r="F159" s="544"/>
      <c r="G159" s="246"/>
      <c r="H159" s="269"/>
      <c r="I159" s="256"/>
      <c r="J159" s="269"/>
      <c r="K159" s="269"/>
    </row>
    <row r="160" spans="1:12" x14ac:dyDescent="0.45">
      <c r="A160" s="637"/>
      <c r="B160" s="44">
        <f t="shared" si="26"/>
        <v>13</v>
      </c>
      <c r="C160" s="28" t="str">
        <f t="shared" si="24"/>
        <v>.bit 13</v>
      </c>
      <c r="D160" s="21" t="s">
        <v>127</v>
      </c>
      <c r="E160" s="42" t="str">
        <f t="shared" si="25"/>
        <v>0x30D</v>
      </c>
      <c r="F160" s="273" t="s">
        <v>168</v>
      </c>
      <c r="G160" s="246" t="s">
        <v>923</v>
      </c>
      <c r="H160" s="269" t="s">
        <v>923</v>
      </c>
      <c r="I160" s="256"/>
      <c r="J160" s="269" t="s">
        <v>921</v>
      </c>
      <c r="K160" s="269">
        <v>0</v>
      </c>
      <c r="L160" s="86"/>
    </row>
    <row r="161" spans="1:12" x14ac:dyDescent="0.45">
      <c r="A161" s="637"/>
      <c r="B161" s="44">
        <f t="shared" si="26"/>
        <v>14</v>
      </c>
      <c r="C161" s="28" t="str">
        <f t="shared" si="24"/>
        <v>.bit 14</v>
      </c>
      <c r="D161" s="21"/>
      <c r="E161" s="42" t="str">
        <f t="shared" si="25"/>
        <v>0x30E</v>
      </c>
      <c r="F161" s="273"/>
      <c r="G161" s="246"/>
      <c r="H161" s="269"/>
      <c r="I161" s="256"/>
      <c r="J161" s="269"/>
      <c r="K161" s="269"/>
    </row>
    <row r="162" spans="1:12" x14ac:dyDescent="0.45">
      <c r="A162" s="638"/>
      <c r="B162" s="45">
        <f t="shared" si="26"/>
        <v>15</v>
      </c>
      <c r="C162" s="46" t="str">
        <f t="shared" si="24"/>
        <v>.bit 15</v>
      </c>
      <c r="D162" s="53"/>
      <c r="E162" s="48" t="str">
        <f t="shared" si="25"/>
        <v>0x30F</v>
      </c>
      <c r="F162" s="100"/>
      <c r="G162" s="261"/>
      <c r="H162" s="225"/>
      <c r="I162" s="463"/>
      <c r="J162" s="463"/>
      <c r="K162" s="225"/>
      <c r="L162" s="86"/>
    </row>
    <row r="163" spans="1:12" x14ac:dyDescent="0.45">
      <c r="B163" s="21"/>
      <c r="C163" s="21"/>
      <c r="D163" s="21"/>
      <c r="E163" s="25"/>
      <c r="G163" s="421"/>
      <c r="H163" s="356"/>
      <c r="I163" s="25"/>
      <c r="J163" s="21"/>
      <c r="K163" s="263"/>
    </row>
    <row r="164" spans="1:12" x14ac:dyDescent="0.45">
      <c r="B164" s="21"/>
      <c r="C164" s="21"/>
      <c r="D164" s="21"/>
      <c r="E164" s="25"/>
      <c r="G164" s="421"/>
      <c r="H164" s="273"/>
      <c r="I164" s="25"/>
      <c r="J164" s="21"/>
      <c r="K164" s="263"/>
    </row>
    <row r="165" spans="1:12" x14ac:dyDescent="0.45">
      <c r="A165" s="657" t="s">
        <v>133</v>
      </c>
      <c r="B165" s="43" t="s">
        <v>53</v>
      </c>
      <c r="C165" s="40" t="str">
        <f>CONCATENATE("0x", DEC2HEX(HEX2DEC('inicio zonas'!$B$9)))</f>
        <v>0x40</v>
      </c>
      <c r="D165" s="184"/>
      <c r="E165" s="41"/>
      <c r="F165" s="43"/>
      <c r="G165" s="545"/>
      <c r="H165" s="369"/>
      <c r="I165" s="420"/>
      <c r="J165" s="221"/>
      <c r="K165" s="245"/>
    </row>
    <row r="166" spans="1:12" x14ac:dyDescent="0.45">
      <c r="A166" s="658"/>
      <c r="B166" s="44">
        <v>0</v>
      </c>
      <c r="C166" s="28" t="str">
        <f>CONCATENATE(".bit ", B166)</f>
        <v>.bit 0</v>
      </c>
      <c r="D166" s="15" t="s">
        <v>54</v>
      </c>
      <c r="E166" s="42" t="str">
        <f>CONCATENATE($C$165,DEC2HEX(B166))</f>
        <v>0x400</v>
      </c>
      <c r="F166" s="101" t="s">
        <v>175</v>
      </c>
      <c r="G166" s="421" t="s">
        <v>923</v>
      </c>
      <c r="H166" s="269" t="s">
        <v>923</v>
      </c>
      <c r="I166" s="256"/>
      <c r="J166" s="222" t="s">
        <v>921</v>
      </c>
      <c r="K166" s="247">
        <v>0</v>
      </c>
    </row>
    <row r="167" spans="1:12" x14ac:dyDescent="0.45">
      <c r="A167" s="658"/>
      <c r="B167" s="44">
        <f>B166+1</f>
        <v>1</v>
      </c>
      <c r="C167" s="28" t="str">
        <f t="shared" ref="C167:C181" si="27">CONCATENATE(".bit ", B167)</f>
        <v>.bit 1</v>
      </c>
      <c r="D167" s="15" t="s">
        <v>5</v>
      </c>
      <c r="E167" s="42" t="str">
        <f t="shared" ref="E167:E181" si="28">CONCATENATE($C$165,DEC2HEX(B167))</f>
        <v>0x401</v>
      </c>
      <c r="F167" s="101" t="s">
        <v>562</v>
      </c>
      <c r="G167" s="421" t="s">
        <v>923</v>
      </c>
      <c r="H167" s="269" t="s">
        <v>923</v>
      </c>
      <c r="I167" s="256"/>
      <c r="J167" s="222" t="s">
        <v>921</v>
      </c>
      <c r="K167" s="247">
        <v>0</v>
      </c>
      <c r="L167" s="242"/>
    </row>
    <row r="168" spans="1:12" x14ac:dyDescent="0.45">
      <c r="A168" s="658"/>
      <c r="B168" s="44">
        <f t="shared" ref="B168:B181" si="29">B167+1</f>
        <v>2</v>
      </c>
      <c r="C168" s="28" t="str">
        <f t="shared" si="27"/>
        <v>.bit 2</v>
      </c>
      <c r="D168" s="15" t="s">
        <v>428</v>
      </c>
      <c r="E168" s="42" t="str">
        <f t="shared" si="28"/>
        <v>0x402</v>
      </c>
      <c r="F168" s="101" t="s">
        <v>427</v>
      </c>
      <c r="G168" s="421" t="s">
        <v>923</v>
      </c>
      <c r="H168" s="269" t="s">
        <v>923</v>
      </c>
      <c r="I168" s="256"/>
      <c r="J168" s="222" t="s">
        <v>921</v>
      </c>
      <c r="K168" s="247">
        <v>0</v>
      </c>
    </row>
    <row r="169" spans="1:12" x14ac:dyDescent="0.45">
      <c r="A169" s="658"/>
      <c r="B169" s="44">
        <f t="shared" si="29"/>
        <v>3</v>
      </c>
      <c r="C169" s="28" t="str">
        <f t="shared" si="27"/>
        <v>.bit 3</v>
      </c>
      <c r="D169" s="15" t="s">
        <v>667</v>
      </c>
      <c r="E169" s="42" t="str">
        <f t="shared" si="28"/>
        <v>0x403</v>
      </c>
      <c r="F169" s="101" t="s">
        <v>668</v>
      </c>
      <c r="G169" s="421" t="s">
        <v>923</v>
      </c>
      <c r="H169" s="269" t="s">
        <v>923</v>
      </c>
      <c r="I169" s="256"/>
      <c r="J169" s="222" t="s">
        <v>921</v>
      </c>
      <c r="K169" s="247">
        <v>0</v>
      </c>
    </row>
    <row r="170" spans="1:12" x14ac:dyDescent="0.45">
      <c r="A170" s="658"/>
      <c r="B170" s="44">
        <f t="shared" si="29"/>
        <v>4</v>
      </c>
      <c r="C170" s="28" t="str">
        <f t="shared" si="27"/>
        <v>.bit 4</v>
      </c>
      <c r="D170" s="15" t="s">
        <v>444</v>
      </c>
      <c r="E170" s="42" t="str">
        <f t="shared" si="28"/>
        <v>0x404</v>
      </c>
      <c r="F170" s="147" t="s">
        <v>319</v>
      </c>
      <c r="G170" s="421" t="s">
        <v>923</v>
      </c>
      <c r="H170" s="269" t="s">
        <v>923</v>
      </c>
      <c r="I170" s="256"/>
      <c r="J170" s="222" t="s">
        <v>921</v>
      </c>
      <c r="K170" s="247">
        <v>0</v>
      </c>
    </row>
    <row r="171" spans="1:12" x14ac:dyDescent="0.45">
      <c r="A171" s="658"/>
      <c r="B171" s="44">
        <f t="shared" si="29"/>
        <v>5</v>
      </c>
      <c r="C171" s="28" t="str">
        <f t="shared" si="27"/>
        <v>.bit 5</v>
      </c>
      <c r="D171" s="15" t="s">
        <v>445</v>
      </c>
      <c r="E171" s="42" t="str">
        <f t="shared" si="28"/>
        <v>0x405</v>
      </c>
      <c r="F171" s="101" t="s">
        <v>447</v>
      </c>
      <c r="G171" s="421" t="s">
        <v>923</v>
      </c>
      <c r="H171" s="269" t="s">
        <v>923</v>
      </c>
      <c r="I171" s="256"/>
      <c r="J171" s="222" t="s">
        <v>921</v>
      </c>
      <c r="K171" s="247">
        <v>0</v>
      </c>
    </row>
    <row r="172" spans="1:12" x14ac:dyDescent="0.45">
      <c r="A172" s="658"/>
      <c r="B172" s="44">
        <f t="shared" si="29"/>
        <v>6</v>
      </c>
      <c r="C172" s="28" t="str">
        <f t="shared" si="27"/>
        <v>.bit 6</v>
      </c>
      <c r="D172" s="15" t="s">
        <v>446</v>
      </c>
      <c r="E172" s="42" t="str">
        <f t="shared" si="28"/>
        <v>0x406</v>
      </c>
      <c r="F172" s="101" t="s">
        <v>448</v>
      </c>
      <c r="G172" s="421" t="s">
        <v>923</v>
      </c>
      <c r="H172" s="269" t="s">
        <v>923</v>
      </c>
      <c r="I172" s="256"/>
      <c r="J172" s="222" t="s">
        <v>921</v>
      </c>
      <c r="K172" s="247">
        <v>0</v>
      </c>
    </row>
    <row r="173" spans="1:12" x14ac:dyDescent="0.45">
      <c r="A173" s="658"/>
      <c r="B173" s="44">
        <f t="shared" si="29"/>
        <v>7</v>
      </c>
      <c r="C173" s="28" t="str">
        <f t="shared" si="27"/>
        <v>.bit 7</v>
      </c>
      <c r="D173" s="15" t="s">
        <v>205</v>
      </c>
      <c r="E173" s="42" t="str">
        <f t="shared" si="28"/>
        <v>0x407</v>
      </c>
      <c r="F173" s="101" t="s">
        <v>204</v>
      </c>
      <c r="G173" s="421" t="s">
        <v>923</v>
      </c>
      <c r="H173" s="269" t="s">
        <v>923</v>
      </c>
      <c r="I173" s="256"/>
      <c r="J173" s="222" t="s">
        <v>921</v>
      </c>
      <c r="K173" s="247">
        <v>0</v>
      </c>
    </row>
    <row r="174" spans="1:12" x14ac:dyDescent="0.45">
      <c r="A174" s="658"/>
      <c r="B174" s="44">
        <f t="shared" si="29"/>
        <v>8</v>
      </c>
      <c r="C174" s="28" t="str">
        <f t="shared" si="27"/>
        <v>.bit 8</v>
      </c>
      <c r="D174" s="15"/>
      <c r="E174" s="42" t="str">
        <f t="shared" si="28"/>
        <v>0x408</v>
      </c>
      <c r="F174" s="101"/>
      <c r="G174" s="547" t="s">
        <v>925</v>
      </c>
      <c r="H174" s="254" t="s">
        <v>925</v>
      </c>
      <c r="I174" s="258"/>
      <c r="J174" s="258"/>
      <c r="K174" s="255"/>
    </row>
    <row r="175" spans="1:12" x14ac:dyDescent="0.45">
      <c r="A175" s="658"/>
      <c r="B175" s="44">
        <f t="shared" si="29"/>
        <v>9</v>
      </c>
      <c r="C175" s="28" t="str">
        <f t="shared" si="27"/>
        <v>.bit 9</v>
      </c>
      <c r="D175" s="13"/>
      <c r="E175" s="42" t="str">
        <f t="shared" si="28"/>
        <v>0x409</v>
      </c>
      <c r="F175" s="101"/>
      <c r="G175" s="421"/>
      <c r="H175" s="269"/>
      <c r="I175" s="256"/>
      <c r="J175" s="222"/>
      <c r="K175" s="247"/>
    </row>
    <row r="176" spans="1:12" x14ac:dyDescent="0.45">
      <c r="A176" s="658"/>
      <c r="B176" s="44">
        <f t="shared" si="29"/>
        <v>10</v>
      </c>
      <c r="C176" s="28" t="str">
        <f t="shared" si="27"/>
        <v>.bit 10</v>
      </c>
      <c r="D176" s="13"/>
      <c r="E176" s="42" t="str">
        <f t="shared" si="28"/>
        <v>0x40A</v>
      </c>
      <c r="F176" s="101"/>
      <c r="G176" s="421"/>
      <c r="H176" s="269"/>
      <c r="I176" s="256"/>
      <c r="J176" s="222"/>
      <c r="K176" s="247"/>
    </row>
    <row r="177" spans="1:12" x14ac:dyDescent="0.45">
      <c r="A177" s="658"/>
      <c r="B177" s="44">
        <f t="shared" si="29"/>
        <v>11</v>
      </c>
      <c r="C177" s="28" t="str">
        <f t="shared" si="27"/>
        <v>.bit 11</v>
      </c>
      <c r="D177" s="13"/>
      <c r="E177" s="42" t="str">
        <f t="shared" si="28"/>
        <v>0x40B</v>
      </c>
      <c r="F177" s="101"/>
      <c r="G177" s="421"/>
      <c r="H177" s="269"/>
      <c r="I177" s="256"/>
      <c r="J177" s="222"/>
      <c r="K177" s="247"/>
    </row>
    <row r="178" spans="1:12" x14ac:dyDescent="0.45">
      <c r="A178" s="658"/>
      <c r="B178" s="44">
        <f t="shared" si="29"/>
        <v>12</v>
      </c>
      <c r="C178" s="28" t="str">
        <f t="shared" si="27"/>
        <v>.bit 12</v>
      </c>
      <c r="D178" s="13"/>
      <c r="E178" s="42" t="str">
        <f t="shared" si="28"/>
        <v>0x40C</v>
      </c>
      <c r="F178" s="101"/>
      <c r="G178" s="421"/>
      <c r="H178" s="269"/>
      <c r="I178" s="256"/>
      <c r="J178" s="222"/>
      <c r="K178" s="247"/>
    </row>
    <row r="179" spans="1:12" x14ac:dyDescent="0.45">
      <c r="A179" s="658"/>
      <c r="B179" s="44">
        <f t="shared" si="29"/>
        <v>13</v>
      </c>
      <c r="C179" s="28" t="str">
        <f t="shared" si="27"/>
        <v>.bit 13</v>
      </c>
      <c r="D179" s="13"/>
      <c r="E179" s="42" t="str">
        <f t="shared" si="28"/>
        <v>0x40D</v>
      </c>
      <c r="F179" s="101"/>
      <c r="G179" s="421"/>
      <c r="H179" s="269"/>
      <c r="I179" s="256"/>
      <c r="J179" s="222"/>
      <c r="K179" s="247"/>
    </row>
    <row r="180" spans="1:12" x14ac:dyDescent="0.45">
      <c r="A180" s="658"/>
      <c r="B180" s="446">
        <f t="shared" si="29"/>
        <v>14</v>
      </c>
      <c r="C180" s="28" t="str">
        <f t="shared" si="27"/>
        <v>.bit 14</v>
      </c>
      <c r="D180" s="13"/>
      <c r="E180" s="42" t="str">
        <f t="shared" si="28"/>
        <v>0x40E</v>
      </c>
      <c r="F180" s="101"/>
      <c r="G180" s="421"/>
      <c r="H180" s="269"/>
      <c r="I180" s="256"/>
      <c r="J180" s="222"/>
      <c r="K180" s="247"/>
    </row>
    <row r="181" spans="1:12" x14ac:dyDescent="0.45">
      <c r="A181" s="658"/>
      <c r="B181" s="447">
        <f t="shared" si="29"/>
        <v>15</v>
      </c>
      <c r="C181" s="46" t="str">
        <f t="shared" si="27"/>
        <v>.bit 15</v>
      </c>
      <c r="D181" s="15" t="s">
        <v>174</v>
      </c>
      <c r="E181" s="48" t="str">
        <f t="shared" si="28"/>
        <v>0x40F</v>
      </c>
      <c r="F181" s="102" t="s">
        <v>206</v>
      </c>
      <c r="G181" s="421" t="s">
        <v>923</v>
      </c>
      <c r="H181" s="269" t="s">
        <v>923</v>
      </c>
      <c r="I181" s="256"/>
      <c r="J181" s="222" t="s">
        <v>921</v>
      </c>
      <c r="K181" s="247">
        <v>0</v>
      </c>
      <c r="L181" s="86"/>
    </row>
    <row r="182" spans="1:12" x14ac:dyDescent="0.45">
      <c r="A182" s="658"/>
      <c r="B182" s="63" t="s">
        <v>201</v>
      </c>
      <c r="C182" s="50" t="str">
        <f>CONCATENATE("0x", DEC2HEX(1+HEX2DEC('inicio zonas'!$B$9)))</f>
        <v>0x41</v>
      </c>
      <c r="D182" s="60"/>
      <c r="E182" s="61"/>
      <c r="F182" s="57" t="s">
        <v>169</v>
      </c>
      <c r="G182" s="552" t="s">
        <v>923</v>
      </c>
      <c r="H182" s="87" t="s">
        <v>923</v>
      </c>
      <c r="I182" s="491"/>
      <c r="J182" s="87" t="s">
        <v>921</v>
      </c>
      <c r="K182" s="243">
        <v>0</v>
      </c>
    </row>
    <row r="183" spans="1:12" x14ac:dyDescent="0.45">
      <c r="A183" s="658"/>
      <c r="B183" s="63" t="s">
        <v>202</v>
      </c>
      <c r="C183" s="50" t="str">
        <f>CONCATENATE("0x", DEC2HEX(2+HEX2DEC('inicio zonas'!$B$9)))</f>
        <v>0x42</v>
      </c>
      <c r="D183" s="60"/>
      <c r="E183" s="61"/>
      <c r="F183" s="57" t="s">
        <v>176</v>
      </c>
      <c r="G183" s="552" t="s">
        <v>923</v>
      </c>
      <c r="H183" s="87" t="s">
        <v>923</v>
      </c>
      <c r="I183" s="491"/>
      <c r="J183" s="87" t="s">
        <v>921</v>
      </c>
      <c r="K183" s="243">
        <v>0</v>
      </c>
    </row>
    <row r="184" spans="1:12" x14ac:dyDescent="0.45">
      <c r="A184" s="658"/>
      <c r="B184" s="63" t="s">
        <v>35</v>
      </c>
      <c r="C184" s="50" t="str">
        <f>CONCATENATE("0x", DEC2HEX(3+HEX2DEC('inicio zonas'!$B$9)))</f>
        <v>0x43</v>
      </c>
      <c r="D184" s="60"/>
      <c r="E184" s="61"/>
      <c r="F184" s="57" t="s">
        <v>312</v>
      </c>
      <c r="G184" s="552" t="s">
        <v>923</v>
      </c>
      <c r="H184" s="87" t="s">
        <v>923</v>
      </c>
      <c r="I184" s="491"/>
      <c r="J184" s="87" t="s">
        <v>921</v>
      </c>
      <c r="K184" s="243">
        <v>0</v>
      </c>
    </row>
    <row r="185" spans="1:12" x14ac:dyDescent="0.45">
      <c r="A185" s="658"/>
      <c r="B185" s="63" t="s">
        <v>55</v>
      </c>
      <c r="C185" s="50" t="str">
        <f>CONCATENATE("0x", DEC2HEX(4+HEX2DEC('inicio zonas'!$B$9)))</f>
        <v>0x44</v>
      </c>
      <c r="D185" s="60"/>
      <c r="E185" s="61"/>
      <c r="F185" s="57" t="s">
        <v>313</v>
      </c>
      <c r="G185" s="552" t="s">
        <v>923</v>
      </c>
      <c r="H185" s="87" t="s">
        <v>923</v>
      </c>
      <c r="I185" s="491"/>
      <c r="J185" s="87" t="s">
        <v>921</v>
      </c>
      <c r="K185" s="243">
        <v>0</v>
      </c>
    </row>
    <row r="186" spans="1:12" x14ac:dyDescent="0.45">
      <c r="A186" s="658"/>
      <c r="B186" s="63" t="s">
        <v>203</v>
      </c>
      <c r="C186" s="50" t="str">
        <f>CONCATENATE("0x", DEC2HEX(5+HEX2DEC('inicio zonas'!$B$9)))</f>
        <v>0x45</v>
      </c>
      <c r="D186" s="62"/>
      <c r="E186" s="61"/>
      <c r="F186" s="57" t="s">
        <v>799</v>
      </c>
      <c r="G186" s="552" t="s">
        <v>923</v>
      </c>
      <c r="H186" s="87" t="s">
        <v>923</v>
      </c>
      <c r="I186" s="491"/>
      <c r="J186" s="87" t="s">
        <v>921</v>
      </c>
      <c r="K186" s="243">
        <v>0</v>
      </c>
    </row>
    <row r="187" spans="1:12" x14ac:dyDescent="0.45">
      <c r="A187" s="658"/>
      <c r="B187" s="63" t="s">
        <v>281</v>
      </c>
      <c r="C187" s="50" t="str">
        <f>CONCATENATE("0x", DEC2HEX(6+HEX2DEC('inicio zonas'!$B$9)))</f>
        <v>0x46</v>
      </c>
      <c r="D187" s="62"/>
      <c r="E187" s="61"/>
      <c r="F187" s="57" t="s">
        <v>283</v>
      </c>
      <c r="G187" s="552" t="s">
        <v>923</v>
      </c>
      <c r="H187" s="87" t="s">
        <v>923</v>
      </c>
      <c r="I187" s="491"/>
      <c r="J187" s="87" t="s">
        <v>921</v>
      </c>
      <c r="K187" s="243">
        <v>0</v>
      </c>
      <c r="L187" s="86"/>
    </row>
    <row r="188" spans="1:12" x14ac:dyDescent="0.45">
      <c r="A188" s="658"/>
      <c r="B188" s="63" t="s">
        <v>282</v>
      </c>
      <c r="C188" s="50" t="str">
        <f>CONCATENATE("0x", DEC2HEX(7+HEX2DEC('inicio zonas'!$B$9)))</f>
        <v>0x47</v>
      </c>
      <c r="D188" s="62"/>
      <c r="E188" s="61"/>
      <c r="F188" s="57" t="s">
        <v>325</v>
      </c>
      <c r="G188" s="552" t="s">
        <v>923</v>
      </c>
      <c r="H188" s="87" t="s">
        <v>923</v>
      </c>
      <c r="I188" s="491"/>
      <c r="J188" s="87" t="s">
        <v>921</v>
      </c>
      <c r="K188" s="243">
        <v>0</v>
      </c>
      <c r="L188" s="86"/>
    </row>
    <row r="189" spans="1:12" x14ac:dyDescent="0.45">
      <c r="A189" s="658"/>
      <c r="B189" s="63" t="s">
        <v>480</v>
      </c>
      <c r="C189" s="50" t="str">
        <f>CONCATENATE("0x", DEC2HEX(8+HEX2DEC('inicio zonas'!$B$9)))</f>
        <v>0x48</v>
      </c>
      <c r="D189" s="62"/>
      <c r="E189" s="61"/>
      <c r="F189" s="57" t="s">
        <v>638</v>
      </c>
      <c r="G189" s="552" t="s">
        <v>923</v>
      </c>
      <c r="H189" s="87" t="s">
        <v>923</v>
      </c>
      <c r="I189" s="491"/>
      <c r="J189" s="87" t="s">
        <v>921</v>
      </c>
      <c r="K189" s="243">
        <v>0</v>
      </c>
      <c r="L189" s="86"/>
    </row>
    <row r="190" spans="1:12" x14ac:dyDescent="0.45">
      <c r="A190" s="658"/>
      <c r="B190" s="63" t="s">
        <v>481</v>
      </c>
      <c r="C190" s="50" t="str">
        <f>CONCATENATE("0x", DEC2HEX(9+HEX2DEC('inicio zonas'!$B$9)))</f>
        <v>0x49</v>
      </c>
      <c r="D190" s="62"/>
      <c r="E190" s="61"/>
      <c r="F190" s="57" t="s">
        <v>640</v>
      </c>
      <c r="G190" s="552" t="s">
        <v>923</v>
      </c>
      <c r="H190" s="87" t="s">
        <v>923</v>
      </c>
      <c r="I190" s="491"/>
      <c r="J190" s="87" t="s">
        <v>921</v>
      </c>
      <c r="K190" s="243">
        <v>0</v>
      </c>
      <c r="L190" s="86"/>
    </row>
    <row r="191" spans="1:12" x14ac:dyDescent="0.45">
      <c r="A191" s="658"/>
      <c r="B191" s="63" t="s">
        <v>482</v>
      </c>
      <c r="C191" s="50" t="str">
        <f>CONCATENATE("0x", DEC2HEX(10+HEX2DEC('inicio zonas'!$B$9)))</f>
        <v>0x4A</v>
      </c>
      <c r="D191" s="62"/>
      <c r="E191" s="61"/>
      <c r="F191" s="57" t="s">
        <v>639</v>
      </c>
      <c r="G191" s="552" t="s">
        <v>923</v>
      </c>
      <c r="H191" s="87" t="s">
        <v>923</v>
      </c>
      <c r="I191" s="491"/>
      <c r="J191" s="87" t="s">
        <v>921</v>
      </c>
      <c r="K191" s="243">
        <v>0</v>
      </c>
      <c r="L191" s="86"/>
    </row>
    <row r="192" spans="1:12" x14ac:dyDescent="0.45">
      <c r="A192" s="658"/>
      <c r="B192" s="63" t="s">
        <v>483</v>
      </c>
      <c r="C192" s="50" t="str">
        <f>CONCATENATE("0x", DEC2HEX(11+HEX2DEC('inicio zonas'!$B$9)))</f>
        <v>0x4B</v>
      </c>
      <c r="D192" s="62"/>
      <c r="E192" s="61"/>
      <c r="F192" s="57" t="s">
        <v>641</v>
      </c>
      <c r="G192" s="552" t="s">
        <v>923</v>
      </c>
      <c r="H192" s="87" t="s">
        <v>923</v>
      </c>
      <c r="I192" s="491"/>
      <c r="J192" s="87" t="s">
        <v>921</v>
      </c>
      <c r="K192" s="243">
        <v>0</v>
      </c>
      <c r="L192" s="86"/>
    </row>
    <row r="193" spans="1:12" x14ac:dyDescent="0.45">
      <c r="A193" s="659"/>
      <c r="B193" s="63" t="s">
        <v>479</v>
      </c>
      <c r="C193" s="50" t="str">
        <f>CONCATENATE("0x", DEC2HEX(12+HEX2DEC('inicio zonas'!$B$9)))</f>
        <v>0x4C</v>
      </c>
      <c r="D193" s="62"/>
      <c r="E193" s="61"/>
      <c r="F193" s="57" t="s">
        <v>642</v>
      </c>
      <c r="G193" s="552" t="s">
        <v>923</v>
      </c>
      <c r="H193" s="87" t="s">
        <v>923</v>
      </c>
      <c r="I193" s="491"/>
      <c r="J193" s="87" t="s">
        <v>921</v>
      </c>
      <c r="K193" s="243">
        <v>0</v>
      </c>
      <c r="L193" s="86"/>
    </row>
    <row r="194" spans="1:12" x14ac:dyDescent="0.45">
      <c r="A194" s="660"/>
      <c r="B194" s="57" t="s">
        <v>778</v>
      </c>
      <c r="C194" s="50" t="str">
        <f>CONCATENATE("0x", DEC2HEX(13+HEX2DEC('inicio zonas'!$B$9)))</f>
        <v>0x4D</v>
      </c>
      <c r="D194" s="62"/>
      <c r="E194" s="61"/>
      <c r="F194" s="375" t="s">
        <v>779</v>
      </c>
      <c r="G194" s="552" t="s">
        <v>923</v>
      </c>
      <c r="H194" s="87" t="s">
        <v>923</v>
      </c>
      <c r="I194" s="491"/>
      <c r="J194" s="87" t="s">
        <v>921</v>
      </c>
      <c r="K194" s="243">
        <v>0</v>
      </c>
      <c r="L194" s="86"/>
    </row>
    <row r="195" spans="1:12" x14ac:dyDescent="0.45">
      <c r="B195" s="162"/>
      <c r="C195" s="26"/>
      <c r="D195" s="21"/>
      <c r="E195" s="25"/>
      <c r="G195" s="421"/>
      <c r="H195" s="273"/>
      <c r="I195" s="25"/>
      <c r="J195" s="21"/>
      <c r="K195" s="263"/>
    </row>
    <row r="196" spans="1:12" x14ac:dyDescent="0.45">
      <c r="B196" s="21"/>
      <c r="C196" s="21"/>
      <c r="D196" s="21"/>
      <c r="E196" s="25"/>
      <c r="G196" s="421"/>
      <c r="H196" s="273"/>
      <c r="I196" s="25"/>
      <c r="J196" s="21"/>
      <c r="K196" s="263"/>
    </row>
    <row r="197" spans="1:12" ht="15" customHeight="1" x14ac:dyDescent="0.45">
      <c r="A197" s="636" t="s">
        <v>134</v>
      </c>
      <c r="B197" s="54" t="s">
        <v>677</v>
      </c>
      <c r="C197" s="40" t="str">
        <f>CONCATENATE("0x", DEC2HEX(HEX2DEC('inicio zonas'!$B$10)))</f>
        <v>0x50</v>
      </c>
      <c r="D197" s="51"/>
      <c r="E197" s="52"/>
      <c r="F197" s="54"/>
      <c r="G197" s="545"/>
      <c r="H197" s="369"/>
      <c r="I197" s="420"/>
      <c r="J197" s="221"/>
      <c r="K197" s="245"/>
    </row>
    <row r="198" spans="1:12" x14ac:dyDescent="0.45">
      <c r="A198" s="637"/>
      <c r="B198" s="44">
        <v>0</v>
      </c>
      <c r="C198" s="28" t="s">
        <v>2</v>
      </c>
      <c r="D198" s="21" t="s">
        <v>802</v>
      </c>
      <c r="E198" s="42" t="str">
        <f>CONCATENATE($C$197,DEC2HEX(B198))</f>
        <v>0x500</v>
      </c>
      <c r="F198" s="99" t="s">
        <v>280</v>
      </c>
      <c r="G198" s="421" t="s">
        <v>923</v>
      </c>
      <c r="H198" s="269" t="s">
        <v>923</v>
      </c>
      <c r="I198" s="256"/>
      <c r="J198" s="222" t="s">
        <v>921</v>
      </c>
      <c r="K198" s="247">
        <v>0</v>
      </c>
    </row>
    <row r="199" spans="1:12" x14ac:dyDescent="0.45">
      <c r="A199" s="637"/>
      <c r="B199" s="44">
        <f>B198+1</f>
        <v>1</v>
      </c>
      <c r="C199" s="28" t="s">
        <v>4</v>
      </c>
      <c r="D199" s="21" t="s">
        <v>837</v>
      </c>
      <c r="E199" s="42" t="str">
        <f t="shared" ref="E199:E213" si="30">CONCATENATE($C$197,DEC2HEX(B199))</f>
        <v>0x501</v>
      </c>
      <c r="F199" s="99"/>
      <c r="G199" s="421" t="s">
        <v>923</v>
      </c>
      <c r="H199" s="269" t="s">
        <v>923</v>
      </c>
      <c r="I199" s="256"/>
      <c r="J199" s="222" t="s">
        <v>921</v>
      </c>
      <c r="K199" s="247">
        <v>0</v>
      </c>
    </row>
    <row r="200" spans="1:12" x14ac:dyDescent="0.45">
      <c r="A200" s="637"/>
      <c r="B200" s="44">
        <f t="shared" ref="B200:B213" si="31">B199+1</f>
        <v>2</v>
      </c>
      <c r="C200" s="28" t="s">
        <v>6</v>
      </c>
      <c r="D200" s="21" t="s">
        <v>903</v>
      </c>
      <c r="E200" s="42" t="str">
        <f t="shared" si="30"/>
        <v>0x502</v>
      </c>
      <c r="F200" s="99"/>
      <c r="G200" s="421" t="s">
        <v>923</v>
      </c>
      <c r="H200" s="269" t="s">
        <v>923</v>
      </c>
      <c r="I200" s="256"/>
      <c r="J200" s="222" t="s">
        <v>921</v>
      </c>
      <c r="K200" s="247">
        <v>0</v>
      </c>
    </row>
    <row r="201" spans="1:12" x14ac:dyDescent="0.45">
      <c r="A201" s="637"/>
      <c r="B201" s="44">
        <f t="shared" si="31"/>
        <v>3</v>
      </c>
      <c r="C201" s="28" t="s">
        <v>7</v>
      </c>
      <c r="D201" s="21"/>
      <c r="E201" s="42" t="str">
        <f t="shared" si="30"/>
        <v>0x503</v>
      </c>
      <c r="F201" s="99"/>
      <c r="G201" s="421"/>
      <c r="H201" s="269"/>
      <c r="I201" s="256"/>
      <c r="J201" s="222"/>
      <c r="K201" s="247"/>
    </row>
    <row r="202" spans="1:12" x14ac:dyDescent="0.45">
      <c r="A202" s="637"/>
      <c r="B202" s="44">
        <f t="shared" si="31"/>
        <v>4</v>
      </c>
      <c r="C202" s="28" t="s">
        <v>8</v>
      </c>
      <c r="D202" s="21"/>
      <c r="E202" s="42" t="str">
        <f t="shared" si="30"/>
        <v>0x504</v>
      </c>
      <c r="F202" s="99"/>
      <c r="G202" s="421"/>
      <c r="H202" s="269"/>
      <c r="I202" s="256"/>
      <c r="J202" s="222"/>
      <c r="K202" s="247"/>
    </row>
    <row r="203" spans="1:12" x14ac:dyDescent="0.45">
      <c r="A203" s="637"/>
      <c r="B203" s="44">
        <f t="shared" si="31"/>
        <v>5</v>
      </c>
      <c r="C203" s="28" t="s">
        <v>9</v>
      </c>
      <c r="D203" s="21"/>
      <c r="E203" s="42" t="str">
        <f t="shared" si="30"/>
        <v>0x505</v>
      </c>
      <c r="F203" s="99"/>
      <c r="G203" s="421"/>
      <c r="H203" s="269"/>
      <c r="I203" s="256"/>
      <c r="J203" s="222"/>
      <c r="K203" s="247"/>
    </row>
    <row r="204" spans="1:12" x14ac:dyDescent="0.45">
      <c r="A204" s="637"/>
      <c r="B204" s="44">
        <f t="shared" si="31"/>
        <v>6</v>
      </c>
      <c r="C204" s="28" t="s">
        <v>10</v>
      </c>
      <c r="D204" s="21"/>
      <c r="E204" s="42" t="str">
        <f t="shared" si="30"/>
        <v>0x506</v>
      </c>
      <c r="F204" s="99"/>
      <c r="G204" s="421"/>
      <c r="H204" s="269"/>
      <c r="I204" s="256"/>
      <c r="J204" s="222"/>
      <c r="K204" s="247"/>
    </row>
    <row r="205" spans="1:12" x14ac:dyDescent="0.45">
      <c r="A205" s="637"/>
      <c r="B205" s="44">
        <f t="shared" si="31"/>
        <v>7</v>
      </c>
      <c r="C205" s="28" t="s">
        <v>12</v>
      </c>
      <c r="D205" s="21"/>
      <c r="E205" s="42" t="str">
        <f t="shared" si="30"/>
        <v>0x507</v>
      </c>
      <c r="F205" s="99"/>
      <c r="G205" s="421"/>
      <c r="H205" s="269"/>
      <c r="I205" s="256"/>
      <c r="J205" s="222"/>
      <c r="K205" s="247"/>
    </row>
    <row r="206" spans="1:12" x14ac:dyDescent="0.45">
      <c r="A206" s="637"/>
      <c r="B206" s="44">
        <f t="shared" si="31"/>
        <v>8</v>
      </c>
      <c r="C206" s="28" t="s">
        <v>13</v>
      </c>
      <c r="D206" s="21"/>
      <c r="E206" s="42" t="str">
        <f t="shared" si="30"/>
        <v>0x508</v>
      </c>
      <c r="F206" s="99"/>
      <c r="G206" s="421"/>
      <c r="H206" s="269"/>
      <c r="I206" s="256"/>
      <c r="J206" s="222"/>
      <c r="K206" s="247"/>
    </row>
    <row r="207" spans="1:12" x14ac:dyDescent="0.45">
      <c r="A207" s="637"/>
      <c r="B207" s="44">
        <f t="shared" si="31"/>
        <v>9</v>
      </c>
      <c r="C207" s="28" t="s">
        <v>14</v>
      </c>
      <c r="D207" s="21"/>
      <c r="E207" s="42" t="str">
        <f t="shared" si="30"/>
        <v>0x509</v>
      </c>
      <c r="F207" s="99"/>
      <c r="G207" s="421"/>
      <c r="H207" s="269"/>
      <c r="I207" s="256"/>
      <c r="J207" s="222"/>
      <c r="K207" s="247"/>
    </row>
    <row r="208" spans="1:12" x14ac:dyDescent="0.45">
      <c r="A208" s="637"/>
      <c r="B208" s="44">
        <f t="shared" si="31"/>
        <v>10</v>
      </c>
      <c r="C208" s="28" t="s">
        <v>15</v>
      </c>
      <c r="D208" s="21"/>
      <c r="E208" s="42" t="str">
        <f t="shared" si="30"/>
        <v>0x50A</v>
      </c>
      <c r="F208" s="99"/>
      <c r="G208" s="421"/>
      <c r="H208" s="269"/>
      <c r="I208" s="256"/>
      <c r="J208" s="222"/>
      <c r="K208" s="247"/>
    </row>
    <row r="209" spans="1:12" x14ac:dyDescent="0.45">
      <c r="A209" s="637"/>
      <c r="B209" s="44">
        <f t="shared" si="31"/>
        <v>11</v>
      </c>
      <c r="C209" s="28" t="s">
        <v>16</v>
      </c>
      <c r="D209" s="21"/>
      <c r="E209" s="42" t="str">
        <f t="shared" si="30"/>
        <v>0x50B</v>
      </c>
      <c r="F209" s="99"/>
      <c r="G209" s="421"/>
      <c r="H209" s="269"/>
      <c r="I209" s="256"/>
      <c r="J209" s="222"/>
      <c r="K209" s="247"/>
    </row>
    <row r="210" spans="1:12" x14ac:dyDescent="0.45">
      <c r="A210" s="637"/>
      <c r="B210" s="446">
        <f t="shared" si="31"/>
        <v>12</v>
      </c>
      <c r="C210" s="28" t="s">
        <v>17</v>
      </c>
      <c r="D210" s="21"/>
      <c r="E210" s="42" t="str">
        <f t="shared" si="30"/>
        <v>0x50C</v>
      </c>
      <c r="F210" s="99"/>
      <c r="G210" s="421"/>
      <c r="H210" s="269"/>
      <c r="I210" s="256"/>
      <c r="J210" s="222"/>
      <c r="K210" s="247"/>
    </row>
    <row r="211" spans="1:12" x14ac:dyDescent="0.45">
      <c r="A211" s="637"/>
      <c r="B211" s="446">
        <f t="shared" si="31"/>
        <v>13</v>
      </c>
      <c r="C211" s="28" t="s">
        <v>18</v>
      </c>
      <c r="D211" s="15" t="s">
        <v>489</v>
      </c>
      <c r="E211" s="42" t="str">
        <f t="shared" si="30"/>
        <v>0x50D</v>
      </c>
      <c r="F211" s="99" t="s">
        <v>672</v>
      </c>
      <c r="G211" s="421" t="s">
        <v>923</v>
      </c>
      <c r="H211" s="269" t="s">
        <v>923</v>
      </c>
      <c r="I211" s="256"/>
      <c r="J211" s="222" t="s">
        <v>921</v>
      </c>
      <c r="K211" s="247">
        <v>0</v>
      </c>
      <c r="L211" s="86"/>
    </row>
    <row r="212" spans="1:12" x14ac:dyDescent="0.45">
      <c r="A212" s="637"/>
      <c r="B212" s="446">
        <f t="shared" si="31"/>
        <v>14</v>
      </c>
      <c r="C212" s="28" t="s">
        <v>19</v>
      </c>
      <c r="D212" s="15" t="s">
        <v>490</v>
      </c>
      <c r="E212" s="42" t="str">
        <f t="shared" si="30"/>
        <v>0x50E</v>
      </c>
      <c r="F212" s="99" t="s">
        <v>673</v>
      </c>
      <c r="G212" s="421" t="s">
        <v>923</v>
      </c>
      <c r="H212" s="269" t="s">
        <v>923</v>
      </c>
      <c r="I212" s="256"/>
      <c r="J212" s="222" t="s">
        <v>921</v>
      </c>
      <c r="K212" s="247">
        <v>0</v>
      </c>
      <c r="L212" s="86"/>
    </row>
    <row r="213" spans="1:12" x14ac:dyDescent="0.45">
      <c r="A213" s="637"/>
      <c r="B213" s="447">
        <f t="shared" si="31"/>
        <v>15</v>
      </c>
      <c r="C213" s="46" t="s">
        <v>20</v>
      </c>
      <c r="D213" s="80" t="s">
        <v>491</v>
      </c>
      <c r="E213" s="42" t="str">
        <f t="shared" si="30"/>
        <v>0x50F</v>
      </c>
      <c r="F213" s="232" t="s">
        <v>674</v>
      </c>
      <c r="G213" s="421" t="s">
        <v>923</v>
      </c>
      <c r="H213" s="269" t="s">
        <v>923</v>
      </c>
      <c r="I213" s="256"/>
      <c r="J213" s="222" t="s">
        <v>921</v>
      </c>
      <c r="K213" s="247">
        <v>0</v>
      </c>
      <c r="L213" s="86"/>
    </row>
    <row r="214" spans="1:12" ht="15" customHeight="1" x14ac:dyDescent="0.45">
      <c r="A214" s="637"/>
      <c r="B214" s="63" t="s">
        <v>42</v>
      </c>
      <c r="C214" s="50" t="str">
        <f>CONCATENATE("0x", DEC2HEX(1+HEX2DEC('inicio zonas'!$B$10)))</f>
        <v>0x51</v>
      </c>
      <c r="D214" s="60"/>
      <c r="E214" s="61"/>
      <c r="F214" s="57" t="s">
        <v>207</v>
      </c>
      <c r="G214" s="552" t="s">
        <v>923</v>
      </c>
      <c r="H214" s="87" t="s">
        <v>923</v>
      </c>
      <c r="I214" s="491"/>
      <c r="J214" s="87" t="s">
        <v>921</v>
      </c>
      <c r="K214" s="243">
        <v>0</v>
      </c>
      <c r="L214" s="86"/>
    </row>
    <row r="215" spans="1:12" x14ac:dyDescent="0.45">
      <c r="A215" s="637"/>
      <c r="B215" s="57" t="s">
        <v>485</v>
      </c>
      <c r="C215" s="50" t="str">
        <f>CONCATENATE("0x", DEC2HEX(2+HEX2DEC('inicio zonas'!$B$10)))</f>
        <v>0x52</v>
      </c>
      <c r="D215" s="60"/>
      <c r="E215" s="61"/>
      <c r="F215" s="57" t="s">
        <v>207</v>
      </c>
      <c r="G215" s="552" t="s">
        <v>923</v>
      </c>
      <c r="H215" s="87" t="s">
        <v>923</v>
      </c>
      <c r="I215" s="491"/>
      <c r="J215" s="87" t="s">
        <v>921</v>
      </c>
      <c r="K215" s="243">
        <v>0</v>
      </c>
      <c r="L215" s="86"/>
    </row>
    <row r="216" spans="1:12" x14ac:dyDescent="0.45">
      <c r="A216" s="637"/>
      <c r="B216" s="64"/>
      <c r="C216" s="65"/>
      <c r="D216" s="66"/>
      <c r="E216" s="67"/>
      <c r="F216" s="83"/>
      <c r="G216" s="265"/>
      <c r="H216" s="224"/>
      <c r="I216" s="567"/>
      <c r="J216" s="224"/>
      <c r="K216" s="244"/>
    </row>
    <row r="217" spans="1:12" x14ac:dyDescent="0.45">
      <c r="A217" s="637"/>
      <c r="B217" s="43" t="s">
        <v>181</v>
      </c>
      <c r="C217" s="40" t="str">
        <f>CONCATENATE("0x", DEC2HEX(6+HEX2DEC('inicio zonas'!$B$10)))</f>
        <v>0x56</v>
      </c>
      <c r="D217" s="184"/>
      <c r="E217" s="41"/>
      <c r="F217" s="43"/>
      <c r="G217" s="421"/>
      <c r="H217" s="269"/>
      <c r="I217" s="256"/>
      <c r="J217" s="222"/>
      <c r="K217" s="247"/>
    </row>
    <row r="218" spans="1:12" x14ac:dyDescent="0.45">
      <c r="A218" s="637"/>
      <c r="B218" s="44">
        <v>0</v>
      </c>
      <c r="C218" s="28" t="str">
        <f>CONCATENATE(".bit ", B218)</f>
        <v>.bit 0</v>
      </c>
      <c r="D218" s="15" t="s">
        <v>56</v>
      </c>
      <c r="E218" s="42" t="str">
        <f>CONCATENATE($C$217,DEC2HEX(B218))</f>
        <v>0x560</v>
      </c>
      <c r="F218" s="101" t="s">
        <v>170</v>
      </c>
      <c r="G218" s="421" t="s">
        <v>923</v>
      </c>
      <c r="H218" s="269" t="s">
        <v>923</v>
      </c>
      <c r="I218" s="256"/>
      <c r="J218" s="222" t="s">
        <v>921</v>
      </c>
      <c r="K218" s="247">
        <v>0</v>
      </c>
    </row>
    <row r="219" spans="1:12" x14ac:dyDescent="0.45">
      <c r="A219" s="637"/>
      <c r="B219" s="44">
        <f>B218+1</f>
        <v>1</v>
      </c>
      <c r="C219" s="28" t="str">
        <f t="shared" ref="C219:C233" si="32">CONCATENATE(".bit ", B219)</f>
        <v>.bit 1</v>
      </c>
      <c r="D219" s="15"/>
      <c r="E219" s="42" t="str">
        <f t="shared" ref="E219:E233" si="33">CONCATENATE($C$217,DEC2HEX(B219))</f>
        <v>0x561</v>
      </c>
      <c r="G219" s="421"/>
      <c r="H219" s="269"/>
      <c r="I219" s="256"/>
      <c r="J219" s="222"/>
      <c r="K219" s="247"/>
    </row>
    <row r="220" spans="1:12" x14ac:dyDescent="0.45">
      <c r="A220" s="637"/>
      <c r="B220" s="44">
        <f t="shared" ref="B220:B233" si="34">B219+1</f>
        <v>2</v>
      </c>
      <c r="C220" s="28" t="str">
        <f t="shared" si="32"/>
        <v>.bit 2</v>
      </c>
      <c r="D220" s="13" t="s">
        <v>442</v>
      </c>
      <c r="E220" s="42" t="str">
        <f t="shared" si="33"/>
        <v>0x562</v>
      </c>
      <c r="F220" s="117" t="s">
        <v>466</v>
      </c>
      <c r="G220" s="421" t="s">
        <v>923</v>
      </c>
      <c r="H220" s="269" t="s">
        <v>923</v>
      </c>
      <c r="I220" s="256"/>
      <c r="J220" s="222" t="s">
        <v>921</v>
      </c>
      <c r="K220" s="247">
        <v>0</v>
      </c>
    </row>
    <row r="221" spans="1:12" x14ac:dyDescent="0.45">
      <c r="A221" s="637"/>
      <c r="B221" s="44">
        <f t="shared" si="34"/>
        <v>3</v>
      </c>
      <c r="C221" s="28" t="str">
        <f t="shared" si="32"/>
        <v>.bit 3</v>
      </c>
      <c r="D221" s="13"/>
      <c r="E221" s="42" t="str">
        <f t="shared" si="33"/>
        <v>0x563</v>
      </c>
      <c r="F221" s="101"/>
      <c r="G221" s="421"/>
      <c r="H221" s="269"/>
      <c r="I221" s="256"/>
      <c r="J221" s="222"/>
      <c r="K221" s="247"/>
    </row>
    <row r="222" spans="1:12" x14ac:dyDescent="0.45">
      <c r="A222" s="637"/>
      <c r="B222" s="44">
        <f t="shared" si="34"/>
        <v>4</v>
      </c>
      <c r="C222" s="28" t="str">
        <f t="shared" si="32"/>
        <v>.bit 4</v>
      </c>
      <c r="D222" s="13"/>
      <c r="E222" s="42" t="str">
        <f t="shared" si="33"/>
        <v>0x564</v>
      </c>
      <c r="F222" s="101"/>
      <c r="G222" s="421"/>
      <c r="H222" s="269"/>
      <c r="I222" s="256"/>
      <c r="J222" s="222"/>
      <c r="K222" s="247"/>
    </row>
    <row r="223" spans="1:12" x14ac:dyDescent="0.45">
      <c r="A223" s="637"/>
      <c r="B223" s="44">
        <f t="shared" si="34"/>
        <v>5</v>
      </c>
      <c r="C223" s="28" t="str">
        <f t="shared" si="32"/>
        <v>.bit 5</v>
      </c>
      <c r="D223" s="13"/>
      <c r="E223" s="42" t="str">
        <f t="shared" si="33"/>
        <v>0x565</v>
      </c>
      <c r="F223" s="101"/>
      <c r="G223" s="421"/>
      <c r="H223" s="269"/>
      <c r="I223" s="256"/>
      <c r="J223" s="222"/>
      <c r="K223" s="247"/>
    </row>
    <row r="224" spans="1:12" x14ac:dyDescent="0.45">
      <c r="A224" s="637"/>
      <c r="B224" s="44">
        <f t="shared" si="34"/>
        <v>6</v>
      </c>
      <c r="C224" s="28" t="str">
        <f t="shared" si="32"/>
        <v>.bit 6</v>
      </c>
      <c r="D224" s="13"/>
      <c r="E224" s="42" t="str">
        <f t="shared" si="33"/>
        <v>0x566</v>
      </c>
      <c r="F224" s="101"/>
      <c r="G224" s="421"/>
      <c r="H224" s="269"/>
      <c r="I224" s="256"/>
      <c r="J224" s="222"/>
      <c r="K224" s="247"/>
    </row>
    <row r="225" spans="1:11" x14ac:dyDescent="0.45">
      <c r="A225" s="637"/>
      <c r="B225" s="44">
        <f t="shared" si="34"/>
        <v>7</v>
      </c>
      <c r="C225" s="28" t="str">
        <f t="shared" si="32"/>
        <v>.bit 7</v>
      </c>
      <c r="D225" s="13"/>
      <c r="E225" s="42" t="str">
        <f t="shared" si="33"/>
        <v>0x567</v>
      </c>
      <c r="F225" s="101"/>
      <c r="G225" s="421"/>
      <c r="H225" s="269"/>
      <c r="I225" s="256"/>
      <c r="J225" s="222"/>
      <c r="K225" s="247"/>
    </row>
    <row r="226" spans="1:11" x14ac:dyDescent="0.45">
      <c r="A226" s="637"/>
      <c r="B226" s="44">
        <f t="shared" si="34"/>
        <v>8</v>
      </c>
      <c r="C226" s="28" t="str">
        <f t="shared" si="32"/>
        <v>.bit 8</v>
      </c>
      <c r="D226" s="13"/>
      <c r="E226" s="42" t="str">
        <f t="shared" si="33"/>
        <v>0x568</v>
      </c>
      <c r="F226" s="101"/>
      <c r="G226" s="421"/>
      <c r="H226" s="269"/>
      <c r="I226" s="256"/>
      <c r="J226" s="222"/>
      <c r="K226" s="247"/>
    </row>
    <row r="227" spans="1:11" x14ac:dyDescent="0.45">
      <c r="A227" s="637"/>
      <c r="B227" s="44">
        <f t="shared" si="34"/>
        <v>9</v>
      </c>
      <c r="C227" s="28" t="str">
        <f t="shared" si="32"/>
        <v>.bit 9</v>
      </c>
      <c r="D227" s="13"/>
      <c r="E227" s="42" t="str">
        <f t="shared" si="33"/>
        <v>0x569</v>
      </c>
      <c r="F227" s="101"/>
      <c r="G227" s="421"/>
      <c r="H227" s="269"/>
      <c r="I227" s="256"/>
      <c r="J227" s="222"/>
      <c r="K227" s="247"/>
    </row>
    <row r="228" spans="1:11" x14ac:dyDescent="0.45">
      <c r="A228" s="637"/>
      <c r="B228" s="44">
        <f t="shared" si="34"/>
        <v>10</v>
      </c>
      <c r="C228" s="28" t="str">
        <f t="shared" si="32"/>
        <v>.bit 10</v>
      </c>
      <c r="D228" s="13"/>
      <c r="E228" s="42" t="str">
        <f t="shared" si="33"/>
        <v>0x56A</v>
      </c>
      <c r="F228" s="101"/>
      <c r="G228" s="421"/>
      <c r="H228" s="269"/>
      <c r="I228" s="256"/>
      <c r="J228" s="222"/>
      <c r="K228" s="247"/>
    </row>
    <row r="229" spans="1:11" x14ac:dyDescent="0.45">
      <c r="A229" s="637"/>
      <c r="B229" s="44">
        <f t="shared" si="34"/>
        <v>11</v>
      </c>
      <c r="C229" s="28" t="str">
        <f t="shared" si="32"/>
        <v>.bit 11</v>
      </c>
      <c r="D229" s="13"/>
      <c r="E229" s="42" t="str">
        <f t="shared" si="33"/>
        <v>0x56B</v>
      </c>
      <c r="F229" s="101"/>
      <c r="G229" s="421"/>
      <c r="H229" s="269"/>
      <c r="I229" s="256"/>
      <c r="J229" s="222"/>
      <c r="K229" s="247"/>
    </row>
    <row r="230" spans="1:11" x14ac:dyDescent="0.45">
      <c r="A230" s="637"/>
      <c r="B230" s="44">
        <f t="shared" si="34"/>
        <v>12</v>
      </c>
      <c r="C230" s="28" t="str">
        <f t="shared" si="32"/>
        <v>.bit 12</v>
      </c>
      <c r="D230" s="13"/>
      <c r="E230" s="42" t="str">
        <f t="shared" si="33"/>
        <v>0x56C</v>
      </c>
      <c r="F230" s="101"/>
      <c r="G230" s="421"/>
      <c r="H230" s="269"/>
      <c r="I230" s="256"/>
      <c r="J230" s="222"/>
      <c r="K230" s="247"/>
    </row>
    <row r="231" spans="1:11" x14ac:dyDescent="0.45">
      <c r="A231" s="637"/>
      <c r="B231" s="446">
        <f t="shared" si="34"/>
        <v>13</v>
      </c>
      <c r="C231" s="28" t="str">
        <f t="shared" si="32"/>
        <v>.bit 13</v>
      </c>
      <c r="D231" s="13"/>
      <c r="E231" s="42" t="str">
        <f t="shared" si="33"/>
        <v>0x56D</v>
      </c>
      <c r="F231" s="101"/>
      <c r="G231" s="421"/>
      <c r="H231" s="269"/>
      <c r="I231" s="256"/>
      <c r="J231" s="222"/>
      <c r="K231" s="247"/>
    </row>
    <row r="232" spans="1:11" x14ac:dyDescent="0.45">
      <c r="A232" s="637"/>
      <c r="B232" s="446">
        <f t="shared" si="34"/>
        <v>14</v>
      </c>
      <c r="C232" s="28" t="str">
        <f t="shared" si="32"/>
        <v>.bit 14</v>
      </c>
      <c r="D232" s="13"/>
      <c r="E232" s="42" t="str">
        <f t="shared" si="33"/>
        <v>0x56E</v>
      </c>
      <c r="F232" s="101"/>
      <c r="G232" s="421"/>
      <c r="H232" s="269"/>
      <c r="I232" s="256"/>
      <c r="J232" s="222"/>
      <c r="K232" s="247"/>
    </row>
    <row r="233" spans="1:11" x14ac:dyDescent="0.45">
      <c r="A233" s="637"/>
      <c r="B233" s="447">
        <f t="shared" si="34"/>
        <v>15</v>
      </c>
      <c r="C233" s="46" t="str">
        <f t="shared" si="32"/>
        <v>.bit 15</v>
      </c>
      <c r="D233" s="49"/>
      <c r="E233" s="48" t="str">
        <f t="shared" si="33"/>
        <v>0x56F</v>
      </c>
      <c r="F233" s="102"/>
      <c r="G233" s="421"/>
      <c r="H233" s="269"/>
      <c r="I233" s="256"/>
      <c r="J233" s="222"/>
      <c r="K233" s="247"/>
    </row>
    <row r="234" spans="1:11" x14ac:dyDescent="0.45">
      <c r="A234" s="637"/>
      <c r="B234" s="63" t="s">
        <v>767</v>
      </c>
      <c r="C234" s="50" t="str">
        <f>CONCATENATE("0x", DEC2HEX(7+HEX2DEC('inicio zonas'!$B$10)))</f>
        <v>0x57</v>
      </c>
      <c r="D234" s="60"/>
      <c r="E234" s="61"/>
      <c r="F234" s="57" t="s">
        <v>643</v>
      </c>
      <c r="G234" s="552" t="s">
        <v>923</v>
      </c>
      <c r="H234" s="87" t="s">
        <v>923</v>
      </c>
      <c r="I234" s="491"/>
      <c r="J234" s="87" t="s">
        <v>922</v>
      </c>
      <c r="K234" s="243">
        <v>0</v>
      </c>
    </row>
    <row r="235" spans="1:11" x14ac:dyDescent="0.45">
      <c r="A235" s="637"/>
      <c r="B235" s="63" t="s">
        <v>182</v>
      </c>
      <c r="C235" s="50" t="str">
        <f>CONCATENATE("0x", DEC2HEX(8+HEX2DEC('inicio zonas'!$B$10)))</f>
        <v>0x58</v>
      </c>
      <c r="D235" s="60"/>
      <c r="E235" s="61"/>
      <c r="F235" s="57" t="s">
        <v>38</v>
      </c>
      <c r="G235" s="552" t="s">
        <v>923</v>
      </c>
      <c r="H235" s="87" t="s">
        <v>923</v>
      </c>
      <c r="I235" s="491"/>
      <c r="J235" s="87" t="s">
        <v>921</v>
      </c>
      <c r="K235" s="243">
        <v>0</v>
      </c>
    </row>
    <row r="236" spans="1:11" x14ac:dyDescent="0.45">
      <c r="A236" s="637"/>
      <c r="B236" s="104" t="s">
        <v>557</v>
      </c>
      <c r="C236" s="50" t="str">
        <f>CONCATENATE("0x", DEC2HEX(9+HEX2DEC('inicio zonas'!$B$10)))</f>
        <v>0x59</v>
      </c>
      <c r="D236" s="66"/>
      <c r="E236" s="67"/>
      <c r="F236" s="57" t="s">
        <v>441</v>
      </c>
      <c r="G236" s="552" t="s">
        <v>923</v>
      </c>
      <c r="H236" s="87" t="s">
        <v>923</v>
      </c>
      <c r="I236" s="491"/>
      <c r="J236" s="87" t="s">
        <v>922</v>
      </c>
      <c r="K236" s="243">
        <v>0</v>
      </c>
    </row>
    <row r="237" spans="1:11" x14ac:dyDescent="0.45">
      <c r="A237" s="637"/>
      <c r="B237" s="104" t="s">
        <v>327</v>
      </c>
      <c r="C237" s="50" t="str">
        <f>CONCATENATE("0x", DEC2HEX(10+HEX2DEC('inicio zonas'!$B$10)))</f>
        <v>0x5A</v>
      </c>
      <c r="D237" s="66"/>
      <c r="E237" s="67"/>
      <c r="F237" s="57" t="s">
        <v>326</v>
      </c>
      <c r="G237" s="552" t="s">
        <v>923</v>
      </c>
      <c r="H237" s="87" t="s">
        <v>923</v>
      </c>
      <c r="I237" s="491"/>
      <c r="J237" s="87" t="s">
        <v>922</v>
      </c>
      <c r="K237" s="243">
        <v>0</v>
      </c>
    </row>
    <row r="238" spans="1:11" x14ac:dyDescent="0.45">
      <c r="A238" s="638"/>
      <c r="B238" s="57" t="s">
        <v>328</v>
      </c>
      <c r="C238" s="50" t="str">
        <f>CONCATENATE("0x", DEC2HEX(11+HEX2DEC('inicio zonas'!$B$10)))</f>
        <v>0x5B</v>
      </c>
      <c r="D238" s="60"/>
      <c r="E238" s="61"/>
      <c r="F238" s="57" t="s">
        <v>326</v>
      </c>
      <c r="G238" s="552" t="s">
        <v>923</v>
      </c>
      <c r="H238" s="87" t="s">
        <v>923</v>
      </c>
      <c r="I238" s="491"/>
      <c r="J238" s="87" t="s">
        <v>922</v>
      </c>
      <c r="K238" s="243">
        <v>0</v>
      </c>
    </row>
    <row r="239" spans="1:11" x14ac:dyDescent="0.45">
      <c r="B239" s="21"/>
      <c r="C239" s="21"/>
      <c r="D239" s="21"/>
      <c r="E239" s="25"/>
      <c r="G239" s="421"/>
      <c r="H239" s="273"/>
      <c r="I239" s="25"/>
      <c r="J239" s="21"/>
      <c r="K239" s="263"/>
    </row>
    <row r="240" spans="1:11" x14ac:dyDescent="0.45">
      <c r="B240" s="21"/>
      <c r="C240" s="21"/>
      <c r="D240" s="21"/>
      <c r="E240" s="25"/>
      <c r="G240" s="421"/>
      <c r="H240" s="273"/>
      <c r="I240" s="25"/>
      <c r="J240" s="21"/>
      <c r="K240" s="263"/>
    </row>
    <row r="241" spans="1:12" ht="15" customHeight="1" x14ac:dyDescent="0.45">
      <c r="A241" s="636" t="s">
        <v>136</v>
      </c>
      <c r="B241" s="54" t="s">
        <v>135</v>
      </c>
      <c r="C241" s="40" t="str">
        <f>CONCATENATE("0x", DEC2HEX(HEX2DEC('inicio zonas'!$B$11)))</f>
        <v>0x80</v>
      </c>
      <c r="D241" s="51"/>
      <c r="E241" s="52"/>
      <c r="F241" s="54"/>
      <c r="G241" s="545"/>
      <c r="H241" s="369"/>
      <c r="I241" s="420"/>
      <c r="J241" s="221"/>
      <c r="K241" s="245"/>
    </row>
    <row r="242" spans="1:12" x14ac:dyDescent="0.45">
      <c r="A242" s="637"/>
      <c r="B242" s="44">
        <v>0</v>
      </c>
      <c r="C242" s="28" t="s">
        <v>2</v>
      </c>
      <c r="D242" s="21" t="s">
        <v>11</v>
      </c>
      <c r="E242" s="42" t="str">
        <f>CONCATENATE($C$241,DEC2HEX(B242))</f>
        <v>0x800</v>
      </c>
      <c r="F242" s="99" t="s">
        <v>280</v>
      </c>
      <c r="G242" s="421" t="s">
        <v>923</v>
      </c>
      <c r="H242" s="269" t="s">
        <v>923</v>
      </c>
      <c r="I242" s="256"/>
      <c r="J242" s="222" t="s">
        <v>921</v>
      </c>
      <c r="K242" s="247">
        <v>0</v>
      </c>
    </row>
    <row r="243" spans="1:12" x14ac:dyDescent="0.45">
      <c r="A243" s="637"/>
      <c r="B243" s="44">
        <f>B242+1</f>
        <v>1</v>
      </c>
      <c r="C243" s="28" t="s">
        <v>4</v>
      </c>
      <c r="D243" s="21" t="s">
        <v>796</v>
      </c>
      <c r="E243" s="42" t="str">
        <f t="shared" ref="E243:E257" si="35">CONCATENATE($C$241,DEC2HEX(B243))</f>
        <v>0x801</v>
      </c>
      <c r="F243" s="99"/>
      <c r="G243" s="421" t="s">
        <v>923</v>
      </c>
      <c r="H243" s="269" t="s">
        <v>923</v>
      </c>
      <c r="I243" s="256"/>
      <c r="J243" s="222" t="s">
        <v>921</v>
      </c>
      <c r="K243" s="247">
        <v>0</v>
      </c>
    </row>
    <row r="244" spans="1:12" x14ac:dyDescent="0.45">
      <c r="A244" s="637"/>
      <c r="B244" s="44">
        <f t="shared" ref="B244:B257" si="36">B243+1</f>
        <v>2</v>
      </c>
      <c r="C244" s="28" t="s">
        <v>6</v>
      </c>
      <c r="D244" s="21" t="s">
        <v>797</v>
      </c>
      <c r="E244" s="42" t="str">
        <f t="shared" si="35"/>
        <v>0x802</v>
      </c>
      <c r="F244" s="99"/>
      <c r="G244" s="421" t="s">
        <v>923</v>
      </c>
      <c r="H244" s="269" t="s">
        <v>923</v>
      </c>
      <c r="I244" s="256"/>
      <c r="J244" s="222" t="s">
        <v>921</v>
      </c>
      <c r="K244" s="247">
        <v>0</v>
      </c>
    </row>
    <row r="245" spans="1:12" x14ac:dyDescent="0.45">
      <c r="A245" s="637"/>
      <c r="B245" s="44">
        <f t="shared" si="36"/>
        <v>3</v>
      </c>
      <c r="C245" s="28" t="s">
        <v>7</v>
      </c>
      <c r="D245" s="81" t="s">
        <v>800</v>
      </c>
      <c r="E245" s="42" t="str">
        <f t="shared" si="35"/>
        <v>0x803</v>
      </c>
      <c r="F245" s="99" t="s">
        <v>801</v>
      </c>
      <c r="G245" s="421" t="s">
        <v>923</v>
      </c>
      <c r="H245" s="269" t="s">
        <v>923</v>
      </c>
      <c r="I245" s="256"/>
      <c r="J245" s="222" t="s">
        <v>921</v>
      </c>
      <c r="K245" s="247">
        <v>0</v>
      </c>
    </row>
    <row r="246" spans="1:12" x14ac:dyDescent="0.45">
      <c r="A246" s="637"/>
      <c r="B246" s="44">
        <f t="shared" si="36"/>
        <v>4</v>
      </c>
      <c r="C246" s="28" t="s">
        <v>8</v>
      </c>
      <c r="D246" s="81" t="s">
        <v>901</v>
      </c>
      <c r="E246" s="42" t="str">
        <f t="shared" si="35"/>
        <v>0x804</v>
      </c>
      <c r="F246" s="99"/>
      <c r="G246" s="421" t="s">
        <v>923</v>
      </c>
      <c r="H246" s="269" t="s">
        <v>923</v>
      </c>
      <c r="I246" s="256"/>
      <c r="J246" s="222" t="s">
        <v>921</v>
      </c>
      <c r="K246" s="247">
        <v>0</v>
      </c>
    </row>
    <row r="247" spans="1:12" x14ac:dyDescent="0.45">
      <c r="A247" s="637"/>
      <c r="B247" s="44">
        <f t="shared" si="36"/>
        <v>5</v>
      </c>
      <c r="C247" s="28" t="s">
        <v>9</v>
      </c>
      <c r="D247" s="81" t="s">
        <v>902</v>
      </c>
      <c r="E247" s="42" t="str">
        <f t="shared" si="35"/>
        <v>0x805</v>
      </c>
      <c r="F247" s="99"/>
      <c r="G247" s="421" t="s">
        <v>923</v>
      </c>
      <c r="H247" s="269" t="s">
        <v>923</v>
      </c>
      <c r="I247" s="256"/>
      <c r="J247" s="222" t="s">
        <v>921</v>
      </c>
      <c r="K247" s="247">
        <v>0</v>
      </c>
    </row>
    <row r="248" spans="1:12" x14ac:dyDescent="0.45">
      <c r="A248" s="637"/>
      <c r="B248" s="44">
        <f t="shared" si="36"/>
        <v>6</v>
      </c>
      <c r="C248" s="28" t="s">
        <v>10</v>
      </c>
      <c r="D248" s="21"/>
      <c r="E248" s="42" t="str">
        <f t="shared" si="35"/>
        <v>0x806</v>
      </c>
      <c r="F248" s="99"/>
      <c r="G248" s="421"/>
      <c r="H248" s="269"/>
      <c r="I248" s="256"/>
      <c r="J248" s="222"/>
      <c r="K248" s="247"/>
    </row>
    <row r="249" spans="1:12" x14ac:dyDescent="0.45">
      <c r="A249" s="637"/>
      <c r="B249" s="44">
        <f t="shared" si="36"/>
        <v>7</v>
      </c>
      <c r="C249" s="28" t="s">
        <v>12</v>
      </c>
      <c r="D249" s="21"/>
      <c r="E249" s="42" t="str">
        <f t="shared" si="35"/>
        <v>0x807</v>
      </c>
      <c r="F249" s="99"/>
      <c r="G249" s="421"/>
      <c r="H249" s="269"/>
      <c r="I249" s="256"/>
      <c r="J249" s="222"/>
      <c r="K249" s="247"/>
    </row>
    <row r="250" spans="1:12" x14ac:dyDescent="0.45">
      <c r="A250" s="637"/>
      <c r="B250" s="44">
        <f t="shared" si="36"/>
        <v>8</v>
      </c>
      <c r="C250" s="28" t="s">
        <v>13</v>
      </c>
      <c r="D250" s="21"/>
      <c r="E250" s="42" t="str">
        <f t="shared" si="35"/>
        <v>0x808</v>
      </c>
      <c r="F250" s="99"/>
      <c r="G250" s="421"/>
      <c r="H250" s="269"/>
      <c r="I250" s="256"/>
      <c r="J250" s="222"/>
      <c r="K250" s="247"/>
    </row>
    <row r="251" spans="1:12" x14ac:dyDescent="0.45">
      <c r="A251" s="637"/>
      <c r="B251" s="44">
        <f t="shared" si="36"/>
        <v>9</v>
      </c>
      <c r="C251" s="28" t="s">
        <v>14</v>
      </c>
      <c r="D251" s="21"/>
      <c r="E251" s="42" t="str">
        <f t="shared" si="35"/>
        <v>0x809</v>
      </c>
      <c r="F251" s="99"/>
      <c r="G251" s="421"/>
      <c r="H251" s="269"/>
      <c r="I251" s="256"/>
      <c r="J251" s="222"/>
      <c r="K251" s="247"/>
    </row>
    <row r="252" spans="1:12" x14ac:dyDescent="0.45">
      <c r="A252" s="637"/>
      <c r="B252" s="44">
        <f t="shared" si="36"/>
        <v>10</v>
      </c>
      <c r="C252" s="28" t="s">
        <v>15</v>
      </c>
      <c r="D252" s="21"/>
      <c r="E252" s="42" t="str">
        <f t="shared" si="35"/>
        <v>0x80A</v>
      </c>
      <c r="F252" s="99"/>
      <c r="G252" s="421"/>
      <c r="H252" s="269"/>
      <c r="I252" s="256"/>
      <c r="J252" s="222"/>
      <c r="K252" s="247"/>
    </row>
    <row r="253" spans="1:12" x14ac:dyDescent="0.45">
      <c r="A253" s="637"/>
      <c r="B253" s="44">
        <f t="shared" si="36"/>
        <v>11</v>
      </c>
      <c r="C253" s="28" t="s">
        <v>16</v>
      </c>
      <c r="D253" s="21"/>
      <c r="E253" s="42" t="str">
        <f t="shared" si="35"/>
        <v>0x80B</v>
      </c>
      <c r="F253" s="99"/>
      <c r="G253" s="421"/>
      <c r="H253" s="269"/>
      <c r="I253" s="256"/>
      <c r="J253" s="222"/>
      <c r="K253" s="247"/>
    </row>
    <row r="254" spans="1:12" x14ac:dyDescent="0.45">
      <c r="A254" s="637"/>
      <c r="B254" s="44">
        <f t="shared" si="36"/>
        <v>12</v>
      </c>
      <c r="C254" s="28" t="s">
        <v>17</v>
      </c>
      <c r="D254" s="21"/>
      <c r="E254" s="42" t="str">
        <f t="shared" si="35"/>
        <v>0x80C</v>
      </c>
      <c r="F254" s="99"/>
      <c r="G254" s="421"/>
      <c r="H254" s="269"/>
      <c r="I254" s="256"/>
      <c r="J254" s="222"/>
      <c r="K254" s="247"/>
    </row>
    <row r="255" spans="1:12" x14ac:dyDescent="0.45">
      <c r="A255" s="637"/>
      <c r="B255" s="44">
        <f t="shared" si="36"/>
        <v>13</v>
      </c>
      <c r="C255" s="28" t="s">
        <v>18</v>
      </c>
      <c r="D255" s="10" t="s">
        <v>487</v>
      </c>
      <c r="E255" s="42" t="str">
        <f t="shared" si="35"/>
        <v>0x80D</v>
      </c>
      <c r="F255" s="234" t="s">
        <v>645</v>
      </c>
      <c r="G255" s="421" t="s">
        <v>923</v>
      </c>
      <c r="H255" s="269" t="s">
        <v>923</v>
      </c>
      <c r="I255" s="256"/>
      <c r="J255" s="222" t="s">
        <v>921</v>
      </c>
      <c r="K255" s="247">
        <v>0</v>
      </c>
      <c r="L255" s="86"/>
    </row>
    <row r="256" spans="1:12" x14ac:dyDescent="0.45">
      <c r="A256" s="637"/>
      <c r="B256" s="446">
        <f t="shared" si="36"/>
        <v>14</v>
      </c>
      <c r="C256" s="28" t="s">
        <v>19</v>
      </c>
      <c r="D256" s="10"/>
      <c r="E256" s="42" t="str">
        <f t="shared" si="35"/>
        <v>0x80E</v>
      </c>
      <c r="F256" s="222"/>
      <c r="G256" s="547"/>
      <c r="H256" s="254"/>
      <c r="I256" s="258"/>
      <c r="J256" s="258"/>
      <c r="K256" s="255"/>
      <c r="L256" s="86"/>
    </row>
    <row r="257" spans="1:12" x14ac:dyDescent="0.45">
      <c r="A257" s="637"/>
      <c r="B257" s="447">
        <f t="shared" si="36"/>
        <v>15</v>
      </c>
      <c r="C257" s="46" t="s">
        <v>20</v>
      </c>
      <c r="D257" s="78" t="s">
        <v>488</v>
      </c>
      <c r="E257" s="48" t="str">
        <f t="shared" si="35"/>
        <v>0x80F</v>
      </c>
      <c r="F257" s="100" t="s">
        <v>646</v>
      </c>
      <c r="G257" s="421" t="s">
        <v>923</v>
      </c>
      <c r="H257" s="269" t="s">
        <v>923</v>
      </c>
      <c r="I257" s="256"/>
      <c r="J257" s="222" t="s">
        <v>921</v>
      </c>
      <c r="K257" s="247">
        <v>0</v>
      </c>
      <c r="L257" s="86"/>
    </row>
    <row r="258" spans="1:12" x14ac:dyDescent="0.45">
      <c r="A258" s="637"/>
      <c r="B258" s="63" t="s">
        <v>47</v>
      </c>
      <c r="C258" s="50" t="str">
        <f>CONCATENATE("0x", DEC2HEX(1+HEX2DEC('inicio zonas'!$B$11)))</f>
        <v>0x81</v>
      </c>
      <c r="D258" s="60"/>
      <c r="E258" s="61"/>
      <c r="F258" s="57" t="s">
        <v>178</v>
      </c>
      <c r="G258" s="552" t="s">
        <v>923</v>
      </c>
      <c r="H258" s="87" t="s">
        <v>923</v>
      </c>
      <c r="I258" s="491"/>
      <c r="J258" s="87" t="s">
        <v>921</v>
      </c>
      <c r="K258" s="243">
        <v>0</v>
      </c>
      <c r="L258" s="86"/>
    </row>
    <row r="259" spans="1:12" x14ac:dyDescent="0.45">
      <c r="A259" s="637"/>
      <c r="B259" s="63" t="s">
        <v>486</v>
      </c>
      <c r="C259" s="50" t="str">
        <f>CONCATENATE("0x", DEC2HEX(2+HEX2DEC('inicio zonas'!$B$11)))</f>
        <v>0x82</v>
      </c>
      <c r="D259" s="60"/>
      <c r="E259" s="61"/>
      <c r="F259" s="57"/>
      <c r="G259" s="552" t="s">
        <v>923</v>
      </c>
      <c r="H259" s="87" t="s">
        <v>923</v>
      </c>
      <c r="I259" s="491"/>
      <c r="J259" s="87" t="s">
        <v>921</v>
      </c>
      <c r="K259" s="243">
        <v>0</v>
      </c>
      <c r="L259" s="86"/>
    </row>
    <row r="260" spans="1:12" x14ac:dyDescent="0.45">
      <c r="A260" s="637"/>
      <c r="B260" s="63" t="s">
        <v>48</v>
      </c>
      <c r="C260" s="50" t="str">
        <f>CONCATENATE("0x", DEC2HEX(3+HEX2DEC('inicio zonas'!$B$11)))</f>
        <v>0x83</v>
      </c>
      <c r="D260" s="60"/>
      <c r="E260" s="61"/>
      <c r="F260" s="57" t="s">
        <v>179</v>
      </c>
      <c r="G260" s="552" t="s">
        <v>923</v>
      </c>
      <c r="H260" s="87" t="s">
        <v>923</v>
      </c>
      <c r="I260" s="491"/>
      <c r="J260" s="87" t="s">
        <v>921</v>
      </c>
      <c r="K260" s="55">
        <v>0</v>
      </c>
    </row>
    <row r="261" spans="1:12" x14ac:dyDescent="0.45">
      <c r="A261" s="637"/>
      <c r="B261" s="63" t="s">
        <v>50</v>
      </c>
      <c r="C261" s="40" t="str">
        <f>CONCATENATE("0x", DEC2HEX(4+HEX2DEC('inicio zonas'!$B$11)))</f>
        <v>0x84</v>
      </c>
      <c r="D261" s="60"/>
      <c r="E261" s="61"/>
      <c r="F261" s="57" t="s">
        <v>180</v>
      </c>
      <c r="G261" s="552" t="s">
        <v>923</v>
      </c>
      <c r="H261" s="87" t="s">
        <v>923</v>
      </c>
      <c r="I261" s="491"/>
      <c r="J261" s="87" t="s">
        <v>921</v>
      </c>
      <c r="K261" s="243">
        <v>0</v>
      </c>
    </row>
    <row r="262" spans="1:12" x14ac:dyDescent="0.45">
      <c r="A262" s="637"/>
      <c r="B262" s="382"/>
      <c r="C262" s="383"/>
      <c r="D262" s="384"/>
      <c r="E262" s="385"/>
      <c r="F262" s="386"/>
      <c r="G262" s="265"/>
      <c r="H262" s="560"/>
      <c r="I262" s="181"/>
      <c r="J262" s="58"/>
      <c r="K262" s="266"/>
    </row>
    <row r="263" spans="1:12" x14ac:dyDescent="0.45">
      <c r="A263" s="637"/>
      <c r="B263" s="373" t="s">
        <v>183</v>
      </c>
      <c r="C263" s="383" t="str">
        <f>CONCATENATE("0x", DEC2HEX(6+HEX2DEC('inicio zonas'!$B$11)))</f>
        <v>0x86</v>
      </c>
      <c r="D263" s="387"/>
      <c r="E263" s="388"/>
      <c r="F263" s="389"/>
      <c r="G263" s="553"/>
      <c r="H263" s="361"/>
      <c r="I263" s="571"/>
      <c r="J263" s="233"/>
      <c r="K263" s="264"/>
    </row>
    <row r="264" spans="1:12" x14ac:dyDescent="0.45">
      <c r="A264" s="637"/>
      <c r="B264" s="390">
        <v>0</v>
      </c>
      <c r="C264" s="391" t="s">
        <v>2</v>
      </c>
      <c r="D264" s="374" t="s">
        <v>644</v>
      </c>
      <c r="E264" s="392" t="str">
        <f>CONCATENATE($C$263,DEC2HEX(B264))</f>
        <v>0x860</v>
      </c>
      <c r="F264" s="393" t="s">
        <v>314</v>
      </c>
      <c r="G264" s="547" t="s">
        <v>925</v>
      </c>
      <c r="H264" s="254" t="s">
        <v>925</v>
      </c>
      <c r="I264" s="258"/>
      <c r="J264" s="254"/>
      <c r="K264" s="255"/>
    </row>
    <row r="265" spans="1:12" x14ac:dyDescent="0.45">
      <c r="A265" s="637"/>
      <c r="B265" s="390">
        <f>B264+1</f>
        <v>1</v>
      </c>
      <c r="C265" s="391" t="s">
        <v>4</v>
      </c>
      <c r="D265" s="374"/>
      <c r="E265" s="392" t="str">
        <f t="shared" ref="E265:E279" si="37">CONCATENATE($C$263,DEC2HEX(B265))</f>
        <v>0x861</v>
      </c>
      <c r="F265" s="394"/>
      <c r="G265" s="547"/>
      <c r="H265" s="254"/>
      <c r="I265" s="258"/>
      <c r="J265" s="254"/>
      <c r="K265" s="255"/>
    </row>
    <row r="266" spans="1:12" x14ac:dyDescent="0.45">
      <c r="A266" s="637"/>
      <c r="B266" s="390">
        <f t="shared" ref="B266:B279" si="38">B265+1</f>
        <v>2</v>
      </c>
      <c r="C266" s="391" t="s">
        <v>6</v>
      </c>
      <c r="D266" s="374" t="s">
        <v>442</v>
      </c>
      <c r="E266" s="392" t="str">
        <f t="shared" si="37"/>
        <v>0x862</v>
      </c>
      <c r="F266" s="393" t="s">
        <v>466</v>
      </c>
      <c r="G266" s="547" t="s">
        <v>925</v>
      </c>
      <c r="H266" s="254" t="s">
        <v>925</v>
      </c>
      <c r="I266" s="258"/>
      <c r="J266" s="258"/>
      <c r="K266" s="255"/>
    </row>
    <row r="267" spans="1:12" x14ac:dyDescent="0.45">
      <c r="A267" s="637"/>
      <c r="B267" s="390">
        <f t="shared" si="38"/>
        <v>3</v>
      </c>
      <c r="C267" s="391" t="s">
        <v>7</v>
      </c>
      <c r="D267" s="374"/>
      <c r="E267" s="392" t="str">
        <f t="shared" si="37"/>
        <v>0x863</v>
      </c>
      <c r="F267" s="389"/>
      <c r="G267" s="547"/>
      <c r="H267" s="254"/>
      <c r="I267" s="258"/>
      <c r="J267" s="254"/>
      <c r="K267" s="255"/>
    </row>
    <row r="268" spans="1:12" x14ac:dyDescent="0.45">
      <c r="A268" s="637"/>
      <c r="B268" s="390">
        <f t="shared" si="38"/>
        <v>4</v>
      </c>
      <c r="C268" s="391" t="s">
        <v>8</v>
      </c>
      <c r="D268" s="395"/>
      <c r="E268" s="392" t="str">
        <f t="shared" si="37"/>
        <v>0x864</v>
      </c>
      <c r="F268" s="389"/>
      <c r="G268" s="547"/>
      <c r="H268" s="254"/>
      <c r="I268" s="258"/>
      <c r="J268" s="254"/>
      <c r="K268" s="255"/>
    </row>
    <row r="269" spans="1:12" x14ac:dyDescent="0.45">
      <c r="A269" s="637"/>
      <c r="B269" s="390">
        <f t="shared" si="38"/>
        <v>5</v>
      </c>
      <c r="C269" s="391" t="s">
        <v>9</v>
      </c>
      <c r="D269" s="395"/>
      <c r="E269" s="392" t="str">
        <f t="shared" si="37"/>
        <v>0x865</v>
      </c>
      <c r="F269" s="389"/>
      <c r="G269" s="547"/>
      <c r="H269" s="254"/>
      <c r="I269" s="258"/>
      <c r="J269" s="254"/>
      <c r="K269" s="255"/>
    </row>
    <row r="270" spans="1:12" x14ac:dyDescent="0.45">
      <c r="A270" s="637"/>
      <c r="B270" s="390">
        <f t="shared" si="38"/>
        <v>6</v>
      </c>
      <c r="C270" s="391" t="s">
        <v>10</v>
      </c>
      <c r="D270" s="374"/>
      <c r="E270" s="392" t="str">
        <f t="shared" si="37"/>
        <v>0x866</v>
      </c>
      <c r="F270" s="389"/>
      <c r="G270" s="547"/>
      <c r="H270" s="254"/>
      <c r="I270" s="258"/>
      <c r="J270" s="254"/>
      <c r="K270" s="255"/>
    </row>
    <row r="271" spans="1:12" x14ac:dyDescent="0.45">
      <c r="A271" s="637"/>
      <c r="B271" s="390">
        <f t="shared" si="38"/>
        <v>7</v>
      </c>
      <c r="C271" s="391" t="s">
        <v>12</v>
      </c>
      <c r="D271" s="374"/>
      <c r="E271" s="392" t="str">
        <f t="shared" si="37"/>
        <v>0x867</v>
      </c>
      <c r="F271" s="389"/>
      <c r="G271" s="547"/>
      <c r="H271" s="254"/>
      <c r="I271" s="258"/>
      <c r="J271" s="254"/>
      <c r="K271" s="255"/>
    </row>
    <row r="272" spans="1:12" x14ac:dyDescent="0.45">
      <c r="A272" s="637"/>
      <c r="B272" s="390">
        <f t="shared" si="38"/>
        <v>8</v>
      </c>
      <c r="C272" s="391" t="s">
        <v>13</v>
      </c>
      <c r="D272" s="374"/>
      <c r="E272" s="392" t="str">
        <f t="shared" si="37"/>
        <v>0x868</v>
      </c>
      <c r="F272" s="389"/>
      <c r="G272" s="547"/>
      <c r="H272" s="254"/>
      <c r="I272" s="258"/>
      <c r="J272" s="254"/>
      <c r="K272" s="255"/>
    </row>
    <row r="273" spans="1:11" x14ac:dyDescent="0.45">
      <c r="A273" s="637"/>
      <c r="B273" s="390">
        <f t="shared" si="38"/>
        <v>9</v>
      </c>
      <c r="C273" s="391" t="s">
        <v>14</v>
      </c>
      <c r="D273" s="374"/>
      <c r="E273" s="392" t="str">
        <f t="shared" si="37"/>
        <v>0x869</v>
      </c>
      <c r="F273" s="389"/>
      <c r="G273" s="547"/>
      <c r="H273" s="254"/>
      <c r="I273" s="258"/>
      <c r="J273" s="254"/>
      <c r="K273" s="255"/>
    </row>
    <row r="274" spans="1:11" x14ac:dyDescent="0.45">
      <c r="A274" s="637"/>
      <c r="B274" s="390">
        <f t="shared" si="38"/>
        <v>10</v>
      </c>
      <c r="C274" s="391" t="s">
        <v>15</v>
      </c>
      <c r="D274" s="374"/>
      <c r="E274" s="392" t="str">
        <f t="shared" si="37"/>
        <v>0x86A</v>
      </c>
      <c r="F274" s="389"/>
      <c r="G274" s="547"/>
      <c r="H274" s="254"/>
      <c r="I274" s="258"/>
      <c r="J274" s="254"/>
      <c r="K274" s="255"/>
    </row>
    <row r="275" spans="1:11" x14ac:dyDescent="0.45">
      <c r="A275" s="637"/>
      <c r="B275" s="390">
        <f t="shared" si="38"/>
        <v>11</v>
      </c>
      <c r="C275" s="391" t="s">
        <v>16</v>
      </c>
      <c r="D275" s="374"/>
      <c r="E275" s="392" t="str">
        <f t="shared" si="37"/>
        <v>0x86B</v>
      </c>
      <c r="F275" s="389"/>
      <c r="G275" s="547"/>
      <c r="H275" s="254"/>
      <c r="I275" s="258"/>
      <c r="J275" s="254"/>
      <c r="K275" s="255"/>
    </row>
    <row r="276" spans="1:11" x14ac:dyDescent="0.45">
      <c r="A276" s="637"/>
      <c r="B276" s="390">
        <f t="shared" si="38"/>
        <v>12</v>
      </c>
      <c r="C276" s="391" t="s">
        <v>17</v>
      </c>
      <c r="D276" s="374"/>
      <c r="E276" s="392" t="str">
        <f t="shared" si="37"/>
        <v>0x86C</v>
      </c>
      <c r="F276" s="389"/>
      <c r="G276" s="547"/>
      <c r="H276" s="254"/>
      <c r="I276" s="258"/>
      <c r="J276" s="254"/>
      <c r="K276" s="255"/>
    </row>
    <row r="277" spans="1:11" x14ac:dyDescent="0.45">
      <c r="A277" s="637"/>
      <c r="B277" s="390">
        <f t="shared" si="38"/>
        <v>13</v>
      </c>
      <c r="C277" s="391" t="s">
        <v>18</v>
      </c>
      <c r="D277" s="374"/>
      <c r="E277" s="392" t="str">
        <f t="shared" si="37"/>
        <v>0x86D</v>
      </c>
      <c r="F277" s="389"/>
      <c r="G277" s="547"/>
      <c r="H277" s="254"/>
      <c r="I277" s="258"/>
      <c r="J277" s="254"/>
      <c r="K277" s="255"/>
    </row>
    <row r="278" spans="1:11" x14ac:dyDescent="0.45">
      <c r="A278" s="637"/>
      <c r="B278" s="390">
        <f t="shared" si="38"/>
        <v>14</v>
      </c>
      <c r="C278" s="391" t="s">
        <v>19</v>
      </c>
      <c r="D278" s="374"/>
      <c r="E278" s="392" t="str">
        <f t="shared" si="37"/>
        <v>0x86E</v>
      </c>
      <c r="F278" s="389"/>
      <c r="G278" s="547"/>
      <c r="H278" s="254"/>
      <c r="I278" s="258"/>
      <c r="J278" s="254"/>
      <c r="K278" s="255"/>
    </row>
    <row r="279" spans="1:11" x14ac:dyDescent="0.45">
      <c r="A279" s="637"/>
      <c r="B279" s="396">
        <f t="shared" si="38"/>
        <v>15</v>
      </c>
      <c r="C279" s="397" t="s">
        <v>20</v>
      </c>
      <c r="D279" s="398"/>
      <c r="E279" s="399" t="str">
        <f t="shared" si="37"/>
        <v>0x86F</v>
      </c>
      <c r="F279" s="400"/>
      <c r="G279" s="554"/>
      <c r="H279" s="225"/>
      <c r="I279" s="463"/>
      <c r="J279" s="225"/>
      <c r="K279" s="262"/>
    </row>
    <row r="280" spans="1:11" x14ac:dyDescent="0.45">
      <c r="A280" s="637"/>
      <c r="B280" s="386" t="s">
        <v>185</v>
      </c>
      <c r="C280" s="401" t="str">
        <f>CONCATENATE("0x", DEC2HEX(7+HEX2DEC('inicio zonas'!$B$11)))</f>
        <v>0x87</v>
      </c>
      <c r="D280" s="402"/>
      <c r="E280" s="403"/>
      <c r="F280" s="386" t="s">
        <v>177</v>
      </c>
      <c r="G280" s="265" t="s">
        <v>925</v>
      </c>
      <c r="H280" s="224" t="s">
        <v>925</v>
      </c>
      <c r="I280" s="567"/>
      <c r="J280" s="224"/>
      <c r="K280" s="244"/>
    </row>
    <row r="281" spans="1:11" x14ac:dyDescent="0.45">
      <c r="A281" s="637"/>
      <c r="B281" s="386" t="s">
        <v>184</v>
      </c>
      <c r="C281" s="401" t="str">
        <f>CONCATENATE("0x", DEC2HEX(8+HEX2DEC('inicio zonas'!$B$11)))</f>
        <v>0x88</v>
      </c>
      <c r="D281" s="402"/>
      <c r="E281" s="403"/>
      <c r="F281" s="386" t="s">
        <v>38</v>
      </c>
      <c r="G281" s="265" t="s">
        <v>925</v>
      </c>
      <c r="H281" s="224" t="s">
        <v>925</v>
      </c>
      <c r="I281" s="567"/>
      <c r="J281" s="224"/>
      <c r="K281" s="244"/>
    </row>
    <row r="282" spans="1:11" x14ac:dyDescent="0.45">
      <c r="A282" s="637"/>
      <c r="B282" s="386" t="s">
        <v>558</v>
      </c>
      <c r="C282" s="401" t="str">
        <f>CONCATENATE("0x", DEC2HEX(9+HEX2DEC('inicio zonas'!$B$11)))</f>
        <v>0x89</v>
      </c>
      <c r="D282" s="402"/>
      <c r="E282" s="403"/>
      <c r="F282" s="386" t="s">
        <v>441</v>
      </c>
      <c r="G282" s="265" t="s">
        <v>925</v>
      </c>
      <c r="H282" s="224" t="s">
        <v>925</v>
      </c>
      <c r="I282" s="567"/>
      <c r="J282" s="224"/>
      <c r="K282" s="244"/>
    </row>
    <row r="283" spans="1:11" x14ac:dyDescent="0.45">
      <c r="A283" s="637"/>
      <c r="B283" s="382" t="s">
        <v>453</v>
      </c>
      <c r="C283" s="401" t="str">
        <f>CONCATENATE("0x", DEC2HEX(10+HEX2DEC('inicio zonas'!$B$11)))</f>
        <v>0x8A</v>
      </c>
      <c r="D283" s="384"/>
      <c r="E283" s="385"/>
      <c r="F283" s="386" t="s">
        <v>326</v>
      </c>
      <c r="G283" s="265" t="s">
        <v>925</v>
      </c>
      <c r="H283" s="224" t="s">
        <v>925</v>
      </c>
      <c r="I283" s="567"/>
      <c r="J283" s="224"/>
      <c r="K283" s="244"/>
    </row>
    <row r="284" spans="1:11" x14ac:dyDescent="0.45">
      <c r="A284" s="637"/>
      <c r="B284" s="402" t="s">
        <v>454</v>
      </c>
      <c r="C284" s="401" t="str">
        <f>CONCATENATE("0x", DEC2HEX(11+HEX2DEC('inicio zonas'!$B$11)))</f>
        <v>0x8B</v>
      </c>
      <c r="D284" s="384"/>
      <c r="E284" s="385"/>
      <c r="F284" s="386" t="s">
        <v>326</v>
      </c>
      <c r="G284" s="265" t="s">
        <v>925</v>
      </c>
      <c r="H284" s="224" t="s">
        <v>925</v>
      </c>
      <c r="I284" s="567"/>
      <c r="J284" s="224"/>
      <c r="K284" s="244"/>
    </row>
    <row r="285" spans="1:11" x14ac:dyDescent="0.45">
      <c r="A285" s="638"/>
      <c r="B285" s="382"/>
      <c r="C285" s="383"/>
      <c r="D285" s="384"/>
      <c r="E285" s="385"/>
      <c r="F285" s="386"/>
      <c r="G285" s="265"/>
      <c r="H285" s="560"/>
      <c r="I285" s="181"/>
      <c r="J285" s="58"/>
      <c r="K285" s="266"/>
    </row>
    <row r="286" spans="1:11" x14ac:dyDescent="0.45">
      <c r="B286" s="21"/>
      <c r="C286" s="21"/>
      <c r="D286" s="21"/>
      <c r="E286" s="25"/>
      <c r="G286" s="421"/>
      <c r="H286" s="273"/>
      <c r="I286" s="25"/>
      <c r="J286" s="21"/>
      <c r="K286" s="263"/>
    </row>
    <row r="287" spans="1:11" x14ac:dyDescent="0.45">
      <c r="B287" s="21"/>
      <c r="C287" s="21"/>
      <c r="D287" s="21"/>
      <c r="E287" s="25"/>
      <c r="G287" s="421"/>
      <c r="H287" s="273"/>
      <c r="I287" s="25"/>
      <c r="J287" s="21"/>
      <c r="K287" s="263"/>
    </row>
    <row r="288" spans="1:11" ht="15" customHeight="1" x14ac:dyDescent="0.45">
      <c r="A288" s="655" t="s">
        <v>137</v>
      </c>
      <c r="B288" s="39" t="s">
        <v>112</v>
      </c>
      <c r="C288" s="40" t="str">
        <f>CONCATENATE("0x", DEC2HEX(HEX2DEC('inicio zonas'!$B$12)))</f>
        <v>0xB0</v>
      </c>
      <c r="D288" s="39"/>
      <c r="E288" s="41"/>
      <c r="F288" s="43"/>
      <c r="G288" s="545"/>
      <c r="H288" s="369"/>
      <c r="I288" s="420"/>
      <c r="J288" s="221"/>
      <c r="K288" s="245"/>
    </row>
    <row r="289" spans="1:11" x14ac:dyDescent="0.45">
      <c r="A289" s="656"/>
      <c r="B289" s="27">
        <v>0</v>
      </c>
      <c r="C289" s="28" t="s">
        <v>2</v>
      </c>
      <c r="D289" s="13" t="s">
        <v>21</v>
      </c>
      <c r="E289" s="42" t="str">
        <f>CONCATENATE($C$288,DEC2HEX(B289))</f>
        <v>0xB00</v>
      </c>
      <c r="F289" s="101" t="s">
        <v>279</v>
      </c>
      <c r="G289" s="547" t="s">
        <v>925</v>
      </c>
      <c r="H289" s="254" t="s">
        <v>925</v>
      </c>
      <c r="I289" s="258"/>
      <c r="J289" s="254"/>
      <c r="K289" s="255"/>
    </row>
    <row r="290" spans="1:11" x14ac:dyDescent="0.45">
      <c r="A290" s="656"/>
      <c r="B290" s="27">
        <f>B289+1</f>
        <v>1</v>
      </c>
      <c r="C290" s="28" t="s">
        <v>4</v>
      </c>
      <c r="D290" s="15" t="s">
        <v>905</v>
      </c>
      <c r="E290" s="42" t="str">
        <f t="shared" ref="E290:E304" si="39">CONCATENATE($C$288,DEC2HEX(B290))</f>
        <v>0xB01</v>
      </c>
      <c r="F290" s="101" t="s">
        <v>906</v>
      </c>
      <c r="G290" s="547" t="s">
        <v>925</v>
      </c>
      <c r="H290" s="254" t="s">
        <v>925</v>
      </c>
      <c r="I290" s="258"/>
      <c r="J290" s="254"/>
      <c r="K290" s="255"/>
    </row>
    <row r="291" spans="1:11" x14ac:dyDescent="0.45">
      <c r="A291" s="656"/>
      <c r="B291" s="27">
        <f t="shared" ref="B291:B304" si="40">B290+1</f>
        <v>2</v>
      </c>
      <c r="C291" s="28" t="s">
        <v>6</v>
      </c>
      <c r="D291" s="15"/>
      <c r="E291" s="42" t="str">
        <f t="shared" si="39"/>
        <v>0xB02</v>
      </c>
      <c r="F291" s="101"/>
      <c r="G291" s="421"/>
      <c r="H291" s="269"/>
      <c r="I291" s="256"/>
      <c r="J291" s="222"/>
      <c r="K291" s="247"/>
    </row>
    <row r="292" spans="1:11" x14ac:dyDescent="0.45">
      <c r="A292" s="656"/>
      <c r="B292" s="27">
        <f t="shared" si="40"/>
        <v>3</v>
      </c>
      <c r="C292" s="28" t="s">
        <v>7</v>
      </c>
      <c r="D292" s="15"/>
      <c r="E292" s="42" t="str">
        <f t="shared" si="39"/>
        <v>0xB03</v>
      </c>
      <c r="F292" s="101"/>
      <c r="G292" s="421"/>
      <c r="H292" s="269"/>
      <c r="I292" s="256"/>
      <c r="J292" s="222"/>
      <c r="K292" s="247"/>
    </row>
    <row r="293" spans="1:11" x14ac:dyDescent="0.45">
      <c r="A293" s="656"/>
      <c r="B293" s="27">
        <f t="shared" si="40"/>
        <v>4</v>
      </c>
      <c r="C293" s="28" t="s">
        <v>8</v>
      </c>
      <c r="D293" s="15"/>
      <c r="E293" s="42" t="str">
        <f t="shared" si="39"/>
        <v>0xB04</v>
      </c>
      <c r="F293" s="101"/>
      <c r="G293" s="421"/>
      <c r="H293" s="269"/>
      <c r="I293" s="256"/>
      <c r="J293" s="222"/>
      <c r="K293" s="247"/>
    </row>
    <row r="294" spans="1:11" x14ac:dyDescent="0.45">
      <c r="A294" s="656"/>
      <c r="B294" s="27">
        <f t="shared" si="40"/>
        <v>5</v>
      </c>
      <c r="C294" s="28" t="s">
        <v>9</v>
      </c>
      <c r="D294" s="15"/>
      <c r="E294" s="42" t="str">
        <f t="shared" si="39"/>
        <v>0xB05</v>
      </c>
      <c r="F294" s="101"/>
      <c r="G294" s="421"/>
      <c r="H294" s="269"/>
      <c r="I294" s="256"/>
      <c r="J294" s="222"/>
      <c r="K294" s="247"/>
    </row>
    <row r="295" spans="1:11" x14ac:dyDescent="0.45">
      <c r="A295" s="656"/>
      <c r="B295" s="27">
        <f t="shared" si="40"/>
        <v>6</v>
      </c>
      <c r="C295" s="28" t="s">
        <v>10</v>
      </c>
      <c r="D295" s="13"/>
      <c r="E295" s="42" t="str">
        <f t="shared" si="39"/>
        <v>0xB06</v>
      </c>
      <c r="F295" s="101"/>
      <c r="G295" s="421"/>
      <c r="H295" s="269"/>
      <c r="I295" s="256"/>
      <c r="J295" s="222"/>
      <c r="K295" s="247"/>
    </row>
    <row r="296" spans="1:11" x14ac:dyDescent="0.45">
      <c r="A296" s="656"/>
      <c r="B296" s="27">
        <f t="shared" si="40"/>
        <v>7</v>
      </c>
      <c r="C296" s="28" t="s">
        <v>12</v>
      </c>
      <c r="D296" s="13"/>
      <c r="E296" s="42" t="str">
        <f t="shared" si="39"/>
        <v>0xB07</v>
      </c>
      <c r="F296" s="101"/>
      <c r="G296" s="421"/>
      <c r="H296" s="269"/>
      <c r="I296" s="256"/>
      <c r="J296" s="222"/>
      <c r="K296" s="247"/>
    </row>
    <row r="297" spans="1:11" x14ac:dyDescent="0.45">
      <c r="A297" s="656"/>
      <c r="B297" s="27">
        <f t="shared" si="40"/>
        <v>8</v>
      </c>
      <c r="C297" s="28" t="s">
        <v>13</v>
      </c>
      <c r="D297" s="13"/>
      <c r="E297" s="42" t="str">
        <f t="shared" si="39"/>
        <v>0xB08</v>
      </c>
      <c r="F297" s="101"/>
      <c r="G297" s="421"/>
      <c r="H297" s="269"/>
      <c r="I297" s="256"/>
      <c r="J297" s="222"/>
      <c r="K297" s="247"/>
    </row>
    <row r="298" spans="1:11" x14ac:dyDescent="0.45">
      <c r="A298" s="656"/>
      <c r="B298" s="27">
        <f t="shared" si="40"/>
        <v>9</v>
      </c>
      <c r="C298" s="28" t="s">
        <v>14</v>
      </c>
      <c r="D298" s="13"/>
      <c r="E298" s="42" t="str">
        <f t="shared" si="39"/>
        <v>0xB09</v>
      </c>
      <c r="F298" s="101"/>
      <c r="G298" s="421"/>
      <c r="H298" s="269"/>
      <c r="I298" s="256"/>
      <c r="J298" s="222"/>
      <c r="K298" s="247"/>
    </row>
    <row r="299" spans="1:11" x14ac:dyDescent="0.45">
      <c r="A299" s="656"/>
      <c r="B299" s="27">
        <f t="shared" si="40"/>
        <v>10</v>
      </c>
      <c r="C299" s="28" t="s">
        <v>15</v>
      </c>
      <c r="D299" s="13"/>
      <c r="E299" s="42" t="str">
        <f t="shared" si="39"/>
        <v>0xB0A</v>
      </c>
      <c r="F299" s="101"/>
      <c r="G299" s="421"/>
      <c r="H299" s="269"/>
      <c r="I299" s="256"/>
      <c r="J299" s="222"/>
      <c r="K299" s="247"/>
    </row>
    <row r="300" spans="1:11" x14ac:dyDescent="0.45">
      <c r="A300" s="656"/>
      <c r="B300" s="27">
        <f t="shared" si="40"/>
        <v>11</v>
      </c>
      <c r="C300" s="28" t="s">
        <v>16</v>
      </c>
      <c r="D300" s="13"/>
      <c r="E300" s="42" t="str">
        <f t="shared" si="39"/>
        <v>0xB0B</v>
      </c>
      <c r="F300" s="101"/>
      <c r="G300" s="421"/>
      <c r="H300" s="269"/>
      <c r="I300" s="256"/>
      <c r="J300" s="222"/>
      <c r="K300" s="247"/>
    </row>
    <row r="301" spans="1:11" x14ac:dyDescent="0.45">
      <c r="A301" s="656"/>
      <c r="B301" s="27">
        <f t="shared" si="40"/>
        <v>12</v>
      </c>
      <c r="C301" s="28" t="s">
        <v>17</v>
      </c>
      <c r="D301" s="13"/>
      <c r="E301" s="42" t="str">
        <f t="shared" si="39"/>
        <v>0xB0C</v>
      </c>
      <c r="F301" s="101"/>
      <c r="G301" s="421"/>
      <c r="H301" s="269"/>
      <c r="I301" s="256"/>
      <c r="J301" s="222"/>
      <c r="K301" s="247"/>
    </row>
    <row r="302" spans="1:11" x14ac:dyDescent="0.45">
      <c r="A302" s="656"/>
      <c r="B302" s="27">
        <f t="shared" si="40"/>
        <v>13</v>
      </c>
      <c r="C302" s="28" t="s">
        <v>18</v>
      </c>
      <c r="D302" s="13"/>
      <c r="E302" s="42" t="str">
        <f t="shared" si="39"/>
        <v>0xB0D</v>
      </c>
      <c r="F302" s="101"/>
      <c r="G302" s="421"/>
      <c r="H302" s="269"/>
      <c r="I302" s="256"/>
      <c r="J302" s="222"/>
      <c r="K302" s="247"/>
    </row>
    <row r="303" spans="1:11" x14ac:dyDescent="0.45">
      <c r="A303" s="656"/>
      <c r="B303" s="452">
        <f t="shared" si="40"/>
        <v>14</v>
      </c>
      <c r="C303" s="28" t="s">
        <v>19</v>
      </c>
      <c r="D303" s="13"/>
      <c r="E303" s="42" t="str">
        <f t="shared" si="39"/>
        <v>0xB0E</v>
      </c>
      <c r="F303" s="101"/>
      <c r="G303" s="421"/>
      <c r="H303" s="269"/>
      <c r="I303" s="256"/>
      <c r="J303" s="222"/>
      <c r="K303" s="247"/>
    </row>
    <row r="304" spans="1:11" x14ac:dyDescent="0.45">
      <c r="A304" s="656"/>
      <c r="B304" s="453">
        <f t="shared" si="40"/>
        <v>15</v>
      </c>
      <c r="C304" s="46" t="s">
        <v>20</v>
      </c>
      <c r="D304" s="49" t="s">
        <v>492</v>
      </c>
      <c r="E304" s="48" t="str">
        <f t="shared" si="39"/>
        <v>0xB0F</v>
      </c>
      <c r="F304" s="234" t="s">
        <v>645</v>
      </c>
      <c r="G304" s="421" t="s">
        <v>923</v>
      </c>
      <c r="H304" s="269" t="s">
        <v>923</v>
      </c>
      <c r="I304" s="256"/>
      <c r="J304" s="222" t="s">
        <v>921</v>
      </c>
      <c r="K304" s="247">
        <v>0</v>
      </c>
    </row>
    <row r="305" spans="1:11" x14ac:dyDescent="0.45">
      <c r="A305" s="656"/>
      <c r="B305" s="152" t="s">
        <v>52</v>
      </c>
      <c r="C305" s="50" t="str">
        <f>CONCATENATE("0x", DEC2HEX(1+HEX2DEC('inicio zonas'!$B$12)))</f>
        <v>0xB1</v>
      </c>
      <c r="D305" s="71"/>
      <c r="E305" s="72"/>
      <c r="F305" s="55" t="s">
        <v>272</v>
      </c>
      <c r="G305" s="552" t="s">
        <v>923</v>
      </c>
      <c r="H305" s="87" t="s">
        <v>923</v>
      </c>
      <c r="I305" s="491"/>
      <c r="J305" s="87" t="s">
        <v>921</v>
      </c>
      <c r="K305" s="243">
        <v>0</v>
      </c>
    </row>
    <row r="306" spans="1:11" x14ac:dyDescent="0.45">
      <c r="A306" s="638"/>
      <c r="B306" s="178" t="s">
        <v>493</v>
      </c>
      <c r="C306" s="50" t="str">
        <f>CONCATENATE("0x", DEC2HEX(2+HEX2DEC('inicio zonas'!$B$12)))</f>
        <v>0xB2</v>
      </c>
      <c r="D306" s="71"/>
      <c r="E306" s="72"/>
      <c r="F306" s="55" t="s">
        <v>272</v>
      </c>
      <c r="G306" s="552" t="s">
        <v>923</v>
      </c>
      <c r="H306" s="87" t="s">
        <v>923</v>
      </c>
      <c r="I306" s="491"/>
      <c r="J306" s="87" t="s">
        <v>921</v>
      </c>
      <c r="K306" s="243">
        <v>0</v>
      </c>
    </row>
    <row r="307" spans="1:11" x14ac:dyDescent="0.45">
      <c r="B307" s="81"/>
      <c r="C307" s="21"/>
      <c r="D307" s="81"/>
      <c r="E307" s="85"/>
      <c r="F307" s="86"/>
      <c r="G307" s="421"/>
      <c r="H307" s="273"/>
      <c r="I307" s="25"/>
      <c r="J307" s="21"/>
      <c r="K307" s="263"/>
    </row>
    <row r="308" spans="1:11" ht="15" customHeight="1" x14ac:dyDescent="0.45">
      <c r="A308" s="655" t="s">
        <v>221</v>
      </c>
      <c r="B308" s="184" t="s">
        <v>495</v>
      </c>
      <c r="C308" s="40" t="str">
        <f>CONCATENATE("0x", DEC2HEX(HEX2DEC('inicio zonas'!$B$13)))</f>
        <v>0xC0</v>
      </c>
      <c r="D308" s="39"/>
      <c r="E308" s="41"/>
      <c r="F308" s="43"/>
      <c r="G308" s="545"/>
      <c r="H308" s="369"/>
      <c r="I308" s="420"/>
      <c r="J308" s="221"/>
      <c r="K308" s="245"/>
    </row>
    <row r="309" spans="1:11" x14ac:dyDescent="0.45">
      <c r="A309" s="656"/>
      <c r="B309" s="452">
        <v>0</v>
      </c>
      <c r="C309" s="28" t="s">
        <v>2</v>
      </c>
      <c r="D309" s="15" t="s">
        <v>907</v>
      </c>
      <c r="E309" s="42" t="str">
        <f>CONCATENATE($C$308,DEC2HEX(B309))</f>
        <v>0xC00</v>
      </c>
      <c r="F309" s="101" t="s">
        <v>908</v>
      </c>
      <c r="G309" s="421" t="s">
        <v>923</v>
      </c>
      <c r="H309" s="269" t="s">
        <v>923</v>
      </c>
      <c r="I309" s="256" t="s">
        <v>655</v>
      </c>
      <c r="J309" s="222" t="s">
        <v>921</v>
      </c>
      <c r="K309" s="247">
        <v>0</v>
      </c>
    </row>
    <row r="310" spans="1:11" x14ac:dyDescent="0.45">
      <c r="A310" s="656"/>
      <c r="B310" s="452">
        <f>B309+1</f>
        <v>1</v>
      </c>
      <c r="C310" s="28" t="s">
        <v>4</v>
      </c>
      <c r="D310" s="15" t="s">
        <v>905</v>
      </c>
      <c r="E310" s="42" t="str">
        <f t="shared" ref="E310:E324" si="41">CONCATENATE($C$308,DEC2HEX(B310))</f>
        <v>0xC01</v>
      </c>
      <c r="F310" s="101" t="s">
        <v>906</v>
      </c>
      <c r="G310" s="421" t="s">
        <v>923</v>
      </c>
      <c r="H310" s="269" t="s">
        <v>923</v>
      </c>
      <c r="I310" s="256"/>
      <c r="J310" s="222" t="s">
        <v>921</v>
      </c>
      <c r="K310" s="247">
        <v>0</v>
      </c>
    </row>
    <row r="311" spans="1:11" x14ac:dyDescent="0.45">
      <c r="A311" s="656"/>
      <c r="B311" s="452">
        <f t="shared" ref="B311:B324" si="42">B310+1</f>
        <v>2</v>
      </c>
      <c r="C311" s="28" t="s">
        <v>6</v>
      </c>
      <c r="D311" s="15" t="s">
        <v>647</v>
      </c>
      <c r="E311" s="42" t="str">
        <f t="shared" si="41"/>
        <v>0xC02</v>
      </c>
      <c r="F311" s="101" t="s">
        <v>909</v>
      </c>
      <c r="G311" s="421" t="s">
        <v>923</v>
      </c>
      <c r="H311" s="269" t="s">
        <v>923</v>
      </c>
      <c r="I311" s="256" t="s">
        <v>655</v>
      </c>
      <c r="J311" s="222" t="s">
        <v>921</v>
      </c>
      <c r="K311" s="247">
        <v>0</v>
      </c>
    </row>
    <row r="312" spans="1:11" x14ac:dyDescent="0.45">
      <c r="A312" s="656"/>
      <c r="B312" s="452">
        <f t="shared" si="42"/>
        <v>3</v>
      </c>
      <c r="C312" s="28" t="s">
        <v>7</v>
      </c>
      <c r="D312" s="15"/>
      <c r="E312" s="42" t="str">
        <f t="shared" si="41"/>
        <v>0xC03</v>
      </c>
      <c r="F312" s="101"/>
      <c r="G312" s="421"/>
      <c r="H312" s="269"/>
      <c r="I312" s="256"/>
      <c r="J312" s="222"/>
      <c r="K312" s="247"/>
    </row>
    <row r="313" spans="1:11" x14ac:dyDescent="0.45">
      <c r="A313" s="656"/>
      <c r="B313" s="452">
        <f t="shared" si="42"/>
        <v>4</v>
      </c>
      <c r="C313" s="28" t="s">
        <v>8</v>
      </c>
      <c r="D313" s="21"/>
      <c r="E313" s="42" t="str">
        <f t="shared" si="41"/>
        <v>0xC04</v>
      </c>
      <c r="F313" s="101"/>
      <c r="G313" s="421"/>
      <c r="H313" s="269"/>
      <c r="I313" s="256"/>
      <c r="J313" s="222"/>
      <c r="K313" s="247"/>
    </row>
    <row r="314" spans="1:11" x14ac:dyDescent="0.45">
      <c r="A314" s="656"/>
      <c r="B314" s="452">
        <f t="shared" si="42"/>
        <v>5</v>
      </c>
      <c r="C314" s="28" t="s">
        <v>9</v>
      </c>
      <c r="D314" s="21"/>
      <c r="E314" s="42" t="str">
        <f t="shared" si="41"/>
        <v>0xC05</v>
      </c>
      <c r="F314" s="101"/>
      <c r="G314" s="421"/>
      <c r="H314" s="269"/>
      <c r="I314" s="256"/>
      <c r="J314" s="222"/>
      <c r="K314" s="247"/>
    </row>
    <row r="315" spans="1:11" x14ac:dyDescent="0.45">
      <c r="A315" s="656"/>
      <c r="B315" s="452">
        <f t="shared" si="42"/>
        <v>6</v>
      </c>
      <c r="C315" s="28" t="s">
        <v>10</v>
      </c>
      <c r="D315" s="13"/>
      <c r="E315" s="42" t="str">
        <f t="shared" si="41"/>
        <v>0xC06</v>
      </c>
      <c r="F315" s="101"/>
      <c r="G315" s="421"/>
      <c r="H315" s="269"/>
      <c r="I315" s="256"/>
      <c r="J315" s="222"/>
      <c r="K315" s="247"/>
    </row>
    <row r="316" spans="1:11" x14ac:dyDescent="0.45">
      <c r="A316" s="656"/>
      <c r="B316" s="452">
        <f t="shared" si="42"/>
        <v>7</v>
      </c>
      <c r="C316" s="28" t="s">
        <v>12</v>
      </c>
      <c r="D316" s="13"/>
      <c r="E316" s="42" t="str">
        <f t="shared" si="41"/>
        <v>0xC07</v>
      </c>
      <c r="F316" s="101"/>
      <c r="G316" s="421"/>
      <c r="H316" s="269"/>
      <c r="I316" s="256"/>
      <c r="J316" s="222"/>
      <c r="K316" s="247"/>
    </row>
    <row r="317" spans="1:11" x14ac:dyDescent="0.45">
      <c r="A317" s="656"/>
      <c r="B317" s="452">
        <f t="shared" si="42"/>
        <v>8</v>
      </c>
      <c r="C317" s="28" t="s">
        <v>13</v>
      </c>
      <c r="D317" s="13"/>
      <c r="E317" s="42" t="str">
        <f t="shared" si="41"/>
        <v>0xC08</v>
      </c>
      <c r="F317" s="101"/>
      <c r="G317" s="421"/>
      <c r="H317" s="269"/>
      <c r="I317" s="256"/>
      <c r="J317" s="222"/>
      <c r="K317" s="247"/>
    </row>
    <row r="318" spans="1:11" x14ac:dyDescent="0.45">
      <c r="A318" s="656"/>
      <c r="B318" s="452">
        <f t="shared" si="42"/>
        <v>9</v>
      </c>
      <c r="C318" s="28" t="s">
        <v>14</v>
      </c>
      <c r="D318" s="13"/>
      <c r="E318" s="42" t="str">
        <f t="shared" si="41"/>
        <v>0xC09</v>
      </c>
      <c r="F318" s="101"/>
      <c r="G318" s="421"/>
      <c r="H318" s="269"/>
      <c r="I318" s="256"/>
      <c r="J318" s="222"/>
      <c r="K318" s="247"/>
    </row>
    <row r="319" spans="1:11" x14ac:dyDescent="0.45">
      <c r="A319" s="656"/>
      <c r="B319" s="452">
        <f t="shared" si="42"/>
        <v>10</v>
      </c>
      <c r="C319" s="28" t="s">
        <v>15</v>
      </c>
      <c r="D319" s="13"/>
      <c r="E319" s="42" t="str">
        <f t="shared" si="41"/>
        <v>0xC0A</v>
      </c>
      <c r="F319" s="101"/>
      <c r="G319" s="421"/>
      <c r="H319" s="269"/>
      <c r="I319" s="256"/>
      <c r="J319" s="222"/>
      <c r="K319" s="247"/>
    </row>
    <row r="320" spans="1:11" x14ac:dyDescent="0.45">
      <c r="A320" s="656"/>
      <c r="B320" s="452">
        <f t="shared" si="42"/>
        <v>11</v>
      </c>
      <c r="C320" s="28" t="s">
        <v>16</v>
      </c>
      <c r="D320" s="13"/>
      <c r="E320" s="42" t="str">
        <f t="shared" si="41"/>
        <v>0xC0B</v>
      </c>
      <c r="F320" s="101"/>
      <c r="G320" s="421"/>
      <c r="H320" s="269"/>
      <c r="I320" s="256"/>
      <c r="J320" s="222"/>
      <c r="K320" s="247"/>
    </row>
    <row r="321" spans="1:17" x14ac:dyDescent="0.45">
      <c r="A321" s="656"/>
      <c r="B321" s="452">
        <f t="shared" si="42"/>
        <v>12</v>
      </c>
      <c r="C321" s="28" t="s">
        <v>17</v>
      </c>
      <c r="D321" s="13"/>
      <c r="E321" s="42" t="str">
        <f t="shared" si="41"/>
        <v>0xC0C</v>
      </c>
      <c r="F321" s="101"/>
      <c r="G321" s="421"/>
      <c r="H321" s="269"/>
      <c r="I321" s="256"/>
      <c r="J321" s="222"/>
      <c r="K321" s="247"/>
    </row>
    <row r="322" spans="1:17" x14ac:dyDescent="0.45">
      <c r="A322" s="656"/>
      <c r="B322" s="452">
        <f t="shared" si="42"/>
        <v>13</v>
      </c>
      <c r="C322" s="28" t="s">
        <v>18</v>
      </c>
      <c r="D322" s="13"/>
      <c r="E322" s="42" t="str">
        <f t="shared" si="41"/>
        <v>0xC0D</v>
      </c>
      <c r="F322" s="101"/>
      <c r="G322" s="421"/>
      <c r="H322" s="269"/>
      <c r="I322" s="256"/>
      <c r="J322" s="222"/>
      <c r="K322" s="247"/>
    </row>
    <row r="323" spans="1:17" x14ac:dyDescent="0.45">
      <c r="A323" s="656"/>
      <c r="B323" s="452">
        <f t="shared" si="42"/>
        <v>14</v>
      </c>
      <c r="C323" s="28" t="s">
        <v>19</v>
      </c>
      <c r="D323" s="13"/>
      <c r="E323" s="42" t="str">
        <f t="shared" si="41"/>
        <v>0xC0E</v>
      </c>
      <c r="F323" s="101"/>
      <c r="G323" s="421"/>
      <c r="H323" s="269"/>
      <c r="I323" s="256"/>
      <c r="J323" s="222"/>
      <c r="K323" s="247"/>
    </row>
    <row r="324" spans="1:17" x14ac:dyDescent="0.45">
      <c r="A324" s="656"/>
      <c r="B324" s="453">
        <f t="shared" si="42"/>
        <v>15</v>
      </c>
      <c r="C324" s="46" t="s">
        <v>20</v>
      </c>
      <c r="D324" s="49" t="s">
        <v>492</v>
      </c>
      <c r="E324" s="42" t="str">
        <f t="shared" si="41"/>
        <v>0xC0F</v>
      </c>
      <c r="F324" s="234" t="s">
        <v>645</v>
      </c>
      <c r="G324" s="421" t="s">
        <v>923</v>
      </c>
      <c r="H324" s="269" t="s">
        <v>923</v>
      </c>
      <c r="I324" s="256"/>
      <c r="J324" s="222" t="s">
        <v>921</v>
      </c>
      <c r="K324" s="247">
        <v>0</v>
      </c>
    </row>
    <row r="325" spans="1:17" x14ac:dyDescent="0.45">
      <c r="A325" s="656"/>
      <c r="B325" s="152" t="s">
        <v>223</v>
      </c>
      <c r="C325" s="50" t="str">
        <f>CONCATENATE("0x", DEC2HEX(1+HEX2DEC('inicio zonas'!$B$13)))</f>
        <v>0xC1</v>
      </c>
      <c r="D325" s="71"/>
      <c r="E325" s="72"/>
      <c r="F325" s="55" t="s">
        <v>273</v>
      </c>
      <c r="G325" s="552" t="s">
        <v>923</v>
      </c>
      <c r="H325" s="87" t="s">
        <v>923</v>
      </c>
      <c r="I325" s="491"/>
      <c r="J325" s="87" t="s">
        <v>921</v>
      </c>
      <c r="K325" s="243">
        <v>0</v>
      </c>
    </row>
    <row r="326" spans="1:17" x14ac:dyDescent="0.45">
      <c r="A326" s="638"/>
      <c r="B326" s="178" t="s">
        <v>494</v>
      </c>
      <c r="C326" s="50" t="str">
        <f>CONCATENATE("0x", DEC2HEX(2+HEX2DEC('inicio zonas'!$B$13)))</f>
        <v>0xC2</v>
      </c>
      <c r="D326" s="71"/>
      <c r="E326" s="72"/>
      <c r="F326" s="55" t="s">
        <v>273</v>
      </c>
      <c r="G326" s="552" t="s">
        <v>923</v>
      </c>
      <c r="H326" s="87" t="s">
        <v>923</v>
      </c>
      <c r="I326" s="491"/>
      <c r="J326" s="87" t="s">
        <v>921</v>
      </c>
      <c r="K326" s="243">
        <v>0</v>
      </c>
      <c r="M326" s="21"/>
      <c r="N326" s="21"/>
      <c r="O326" s="21"/>
      <c r="P326" s="21"/>
      <c r="Q326" s="21"/>
    </row>
    <row r="327" spans="1:17" x14ac:dyDescent="0.45">
      <c r="A327" s="75"/>
      <c r="B327" s="81"/>
      <c r="C327" s="26"/>
      <c r="D327" s="81"/>
      <c r="E327" s="85"/>
      <c r="F327" s="86"/>
      <c r="G327" s="421"/>
      <c r="H327" s="273"/>
      <c r="I327" s="25"/>
      <c r="J327" s="21"/>
      <c r="K327" s="263"/>
      <c r="M327" s="21"/>
      <c r="N327" s="21"/>
      <c r="O327" s="21"/>
      <c r="P327" s="21"/>
      <c r="Q327" s="21"/>
    </row>
    <row r="328" spans="1:17" x14ac:dyDescent="0.45">
      <c r="A328" s="75"/>
      <c r="B328" s="21"/>
      <c r="C328" s="26"/>
      <c r="D328" s="81"/>
      <c r="E328" s="85"/>
      <c r="F328" s="86"/>
      <c r="G328" s="236"/>
      <c r="H328" s="561"/>
      <c r="I328" s="85"/>
      <c r="J328" s="236"/>
      <c r="K328" s="421"/>
      <c r="L328" s="21"/>
      <c r="M328" s="21"/>
      <c r="N328" s="21"/>
      <c r="O328" s="21"/>
      <c r="P328" s="21"/>
      <c r="Q328" s="21"/>
    </row>
    <row r="329" spans="1:17" ht="15" customHeight="1" x14ac:dyDescent="0.45">
      <c r="A329" s="654" t="s">
        <v>397</v>
      </c>
      <c r="B329" s="479" t="s">
        <v>402</v>
      </c>
      <c r="C329" s="362" t="str">
        <f>CONCATENATE("0x", DEC2HEX(4+HEX2DEC('[1]inicio zonas'!$B$14)))</f>
        <v>0xD4</v>
      </c>
      <c r="D329" s="480"/>
      <c r="E329" s="182"/>
      <c r="F329" s="356"/>
      <c r="G329" s="545"/>
      <c r="H329" s="369"/>
      <c r="I329" s="420"/>
      <c r="J329" s="369"/>
      <c r="K329" s="245"/>
      <c r="L329" s="81"/>
      <c r="M329" s="81"/>
      <c r="N329" s="81"/>
      <c r="O329" s="81"/>
      <c r="P329" s="81"/>
      <c r="Q329" s="81"/>
    </row>
    <row r="330" spans="1:17" ht="15" customHeight="1" x14ac:dyDescent="0.45">
      <c r="A330" s="654"/>
      <c r="B330" s="355">
        <v>0</v>
      </c>
      <c r="C330" s="28" t="s">
        <v>2</v>
      </c>
      <c r="D330" s="21" t="s">
        <v>404</v>
      </c>
      <c r="E330" s="42" t="str">
        <f>CONCATENATE($C$409,DEC2HEX(B330))</f>
        <v>.bit 130</v>
      </c>
      <c r="F330" s="273" t="s">
        <v>405</v>
      </c>
      <c r="G330" s="421" t="s">
        <v>936</v>
      </c>
      <c r="H330" s="269" t="s">
        <v>936</v>
      </c>
      <c r="I330" s="256"/>
      <c r="J330" s="269" t="s">
        <v>545</v>
      </c>
      <c r="K330" s="247">
        <v>0</v>
      </c>
      <c r="L330" s="81"/>
      <c r="M330" s="81"/>
      <c r="N330" s="81"/>
      <c r="O330" s="81"/>
      <c r="P330" s="81"/>
      <c r="Q330" s="81"/>
    </row>
    <row r="331" spans="1:17" ht="15" customHeight="1" x14ac:dyDescent="0.45">
      <c r="A331" s="654"/>
      <c r="B331" s="355">
        <f>B330+1</f>
        <v>1</v>
      </c>
      <c r="C331" s="28" t="s">
        <v>4</v>
      </c>
      <c r="D331" s="21"/>
      <c r="E331" s="42" t="str">
        <f t="shared" ref="E331:E345" si="43">CONCATENATE($C$409,DEC2HEX(B331))</f>
        <v>.bit 131</v>
      </c>
      <c r="F331" s="273"/>
      <c r="G331" s="421"/>
      <c r="H331" s="269"/>
      <c r="I331" s="256"/>
      <c r="J331" s="269"/>
      <c r="K331" s="247"/>
      <c r="L331" s="81"/>
      <c r="M331" s="81"/>
      <c r="N331" s="81"/>
      <c r="O331" s="81"/>
      <c r="P331" s="81"/>
      <c r="Q331" s="81"/>
    </row>
    <row r="332" spans="1:17" ht="15" customHeight="1" x14ac:dyDescent="0.45">
      <c r="A332" s="654"/>
      <c r="B332" s="355">
        <f t="shared" ref="B332:B345" si="44">B331+1</f>
        <v>2</v>
      </c>
      <c r="C332" s="28" t="s">
        <v>6</v>
      </c>
      <c r="D332" s="21"/>
      <c r="E332" s="42" t="str">
        <f t="shared" si="43"/>
        <v>.bit 132</v>
      </c>
      <c r="F332" s="273"/>
      <c r="G332" s="421"/>
      <c r="H332" s="269"/>
      <c r="I332" s="256"/>
      <c r="J332" s="269"/>
      <c r="K332" s="247"/>
      <c r="L332" s="81"/>
      <c r="M332" s="81"/>
      <c r="N332" s="81"/>
      <c r="O332" s="81"/>
      <c r="P332" s="81"/>
      <c r="Q332" s="81"/>
    </row>
    <row r="333" spans="1:17" ht="15" customHeight="1" x14ac:dyDescent="0.45">
      <c r="A333" s="654"/>
      <c r="B333" s="355">
        <f t="shared" si="44"/>
        <v>3</v>
      </c>
      <c r="C333" s="28" t="s">
        <v>7</v>
      </c>
      <c r="D333" s="21"/>
      <c r="E333" s="42" t="str">
        <f t="shared" si="43"/>
        <v>.bit 133</v>
      </c>
      <c r="F333" s="273"/>
      <c r="G333" s="421"/>
      <c r="H333" s="269"/>
      <c r="I333" s="256"/>
      <c r="J333" s="269"/>
      <c r="K333" s="247"/>
      <c r="L333" s="81"/>
      <c r="M333" s="81"/>
      <c r="N333" s="81"/>
      <c r="O333" s="81"/>
      <c r="P333" s="81"/>
      <c r="Q333" s="81"/>
    </row>
    <row r="334" spans="1:17" ht="15" customHeight="1" x14ac:dyDescent="0.45">
      <c r="A334" s="654"/>
      <c r="B334" s="355">
        <f t="shared" si="44"/>
        <v>4</v>
      </c>
      <c r="C334" s="28" t="s">
        <v>8</v>
      </c>
      <c r="D334" s="21"/>
      <c r="E334" s="42" t="str">
        <f t="shared" si="43"/>
        <v>.bit 134</v>
      </c>
      <c r="F334" s="273"/>
      <c r="G334" s="421"/>
      <c r="H334" s="269"/>
      <c r="I334" s="256"/>
      <c r="J334" s="269"/>
      <c r="K334" s="247"/>
      <c r="L334" s="81"/>
      <c r="M334" s="81"/>
      <c r="N334" s="81"/>
      <c r="O334" s="81"/>
      <c r="P334" s="81"/>
      <c r="Q334" s="81"/>
    </row>
    <row r="335" spans="1:17" ht="15" customHeight="1" x14ac:dyDescent="0.45">
      <c r="A335" s="654"/>
      <c r="B335" s="355">
        <f t="shared" si="44"/>
        <v>5</v>
      </c>
      <c r="C335" s="28" t="s">
        <v>9</v>
      </c>
      <c r="D335" s="21"/>
      <c r="E335" s="42" t="str">
        <f t="shared" si="43"/>
        <v>.bit 135</v>
      </c>
      <c r="F335" s="273"/>
      <c r="G335" s="421"/>
      <c r="H335" s="269"/>
      <c r="I335" s="256"/>
      <c r="J335" s="269"/>
      <c r="K335" s="247"/>
      <c r="L335" s="81"/>
      <c r="M335" s="81"/>
      <c r="N335" s="81"/>
      <c r="O335" s="81"/>
      <c r="P335" s="81"/>
      <c r="Q335" s="81"/>
    </row>
    <row r="336" spans="1:17" ht="15" customHeight="1" x14ac:dyDescent="0.45">
      <c r="A336" s="654"/>
      <c r="B336" s="355">
        <f t="shared" si="44"/>
        <v>6</v>
      </c>
      <c r="C336" s="28" t="s">
        <v>10</v>
      </c>
      <c r="D336" s="21"/>
      <c r="E336" s="42" t="str">
        <f t="shared" si="43"/>
        <v>.bit 136</v>
      </c>
      <c r="F336" s="273"/>
      <c r="G336" s="421"/>
      <c r="H336" s="269"/>
      <c r="I336" s="256"/>
      <c r="J336" s="269"/>
      <c r="K336" s="247"/>
      <c r="L336" s="81"/>
      <c r="M336" s="81"/>
      <c r="N336" s="81"/>
      <c r="O336" s="81"/>
      <c r="P336" s="81"/>
      <c r="Q336" s="81"/>
    </row>
    <row r="337" spans="1:17" ht="15" customHeight="1" x14ac:dyDescent="0.45">
      <c r="A337" s="654"/>
      <c r="B337" s="355">
        <f t="shared" si="44"/>
        <v>7</v>
      </c>
      <c r="C337" s="28" t="s">
        <v>12</v>
      </c>
      <c r="D337" s="21"/>
      <c r="E337" s="42" t="str">
        <f t="shared" si="43"/>
        <v>.bit 137</v>
      </c>
      <c r="F337" s="273"/>
      <c r="G337" s="421"/>
      <c r="H337" s="269"/>
      <c r="I337" s="256"/>
      <c r="J337" s="269"/>
      <c r="K337" s="247"/>
      <c r="L337" s="81"/>
      <c r="M337" s="81"/>
      <c r="N337" s="81"/>
      <c r="O337" s="81"/>
      <c r="P337" s="81"/>
      <c r="Q337" s="81"/>
    </row>
    <row r="338" spans="1:17" ht="15" customHeight="1" x14ac:dyDescent="0.45">
      <c r="A338" s="654"/>
      <c r="B338" s="355">
        <f t="shared" si="44"/>
        <v>8</v>
      </c>
      <c r="C338" s="28" t="s">
        <v>13</v>
      </c>
      <c r="D338" s="21"/>
      <c r="E338" s="42" t="str">
        <f t="shared" si="43"/>
        <v>.bit 138</v>
      </c>
      <c r="F338" s="273"/>
      <c r="G338" s="421"/>
      <c r="H338" s="269"/>
      <c r="I338" s="256"/>
      <c r="J338" s="269"/>
      <c r="K338" s="247"/>
      <c r="L338" s="81"/>
      <c r="M338" s="81"/>
      <c r="N338" s="81"/>
      <c r="O338" s="81"/>
      <c r="P338" s="81"/>
      <c r="Q338" s="81"/>
    </row>
    <row r="339" spans="1:17" ht="15" customHeight="1" x14ac:dyDescent="0.45">
      <c r="A339" s="654"/>
      <c r="B339" s="355">
        <f t="shared" si="44"/>
        <v>9</v>
      </c>
      <c r="C339" s="28" t="s">
        <v>14</v>
      </c>
      <c r="D339" s="21"/>
      <c r="E339" s="42" t="str">
        <f t="shared" si="43"/>
        <v>.bit 139</v>
      </c>
      <c r="F339" s="273"/>
      <c r="G339" s="421"/>
      <c r="H339" s="269"/>
      <c r="I339" s="256"/>
      <c r="J339" s="269"/>
      <c r="K339" s="247"/>
      <c r="L339" s="81"/>
      <c r="M339" s="81"/>
      <c r="N339" s="81"/>
      <c r="O339" s="81"/>
      <c r="P339" s="81"/>
      <c r="Q339" s="81"/>
    </row>
    <row r="340" spans="1:17" ht="15" customHeight="1" x14ac:dyDescent="0.45">
      <c r="A340" s="654"/>
      <c r="B340" s="355">
        <f t="shared" si="44"/>
        <v>10</v>
      </c>
      <c r="C340" s="28" t="s">
        <v>15</v>
      </c>
      <c r="D340" s="21"/>
      <c r="E340" s="42" t="str">
        <f t="shared" si="43"/>
        <v>.bit 13A</v>
      </c>
      <c r="F340" s="273"/>
      <c r="G340" s="421"/>
      <c r="H340" s="269"/>
      <c r="I340" s="256"/>
      <c r="J340" s="269"/>
      <c r="K340" s="247"/>
      <c r="L340" s="81"/>
      <c r="M340" s="81"/>
      <c r="N340" s="81"/>
      <c r="O340" s="81"/>
      <c r="P340" s="81"/>
      <c r="Q340" s="81"/>
    </row>
    <row r="341" spans="1:17" ht="15" customHeight="1" x14ac:dyDescent="0.45">
      <c r="A341" s="654"/>
      <c r="B341" s="355">
        <f t="shared" si="44"/>
        <v>11</v>
      </c>
      <c r="C341" s="28" t="s">
        <v>16</v>
      </c>
      <c r="D341" s="21"/>
      <c r="E341" s="42" t="str">
        <f t="shared" si="43"/>
        <v>.bit 13B</v>
      </c>
      <c r="F341" s="273"/>
      <c r="G341" s="421"/>
      <c r="H341" s="269"/>
      <c r="I341" s="256"/>
      <c r="J341" s="269"/>
      <c r="K341" s="247"/>
      <c r="L341" s="81"/>
      <c r="M341" s="81"/>
      <c r="N341" s="81"/>
      <c r="O341" s="81"/>
      <c r="P341" s="81"/>
      <c r="Q341" s="81"/>
    </row>
    <row r="342" spans="1:17" ht="15" customHeight="1" x14ac:dyDescent="0.45">
      <c r="A342" s="654"/>
      <c r="B342" s="355">
        <f t="shared" si="44"/>
        <v>12</v>
      </c>
      <c r="C342" s="28" t="s">
        <v>17</v>
      </c>
      <c r="D342" s="21"/>
      <c r="E342" s="42" t="str">
        <f t="shared" si="43"/>
        <v>.bit 13C</v>
      </c>
      <c r="F342" s="273"/>
      <c r="G342" s="421"/>
      <c r="H342" s="269"/>
      <c r="I342" s="256"/>
      <c r="J342" s="269"/>
      <c r="K342" s="247"/>
      <c r="L342" s="81"/>
      <c r="M342" s="81"/>
      <c r="N342" s="81"/>
      <c r="O342" s="81"/>
      <c r="P342" s="81"/>
      <c r="Q342" s="81"/>
    </row>
    <row r="343" spans="1:17" ht="15" customHeight="1" x14ac:dyDescent="0.45">
      <c r="A343" s="654"/>
      <c r="B343" s="355">
        <f t="shared" si="44"/>
        <v>13</v>
      </c>
      <c r="C343" s="28" t="s">
        <v>18</v>
      </c>
      <c r="D343" s="21"/>
      <c r="E343" s="42" t="str">
        <f t="shared" si="43"/>
        <v>.bit 13D</v>
      </c>
      <c r="F343" s="273"/>
      <c r="G343" s="421"/>
      <c r="H343" s="269"/>
      <c r="I343" s="256"/>
      <c r="J343" s="269"/>
      <c r="K343" s="247"/>
      <c r="L343" s="81"/>
      <c r="M343" s="81"/>
      <c r="N343" s="81"/>
      <c r="O343" s="81"/>
      <c r="P343" s="81"/>
      <c r="Q343" s="81"/>
    </row>
    <row r="344" spans="1:17" ht="15" customHeight="1" x14ac:dyDescent="0.45">
      <c r="A344" s="654"/>
      <c r="B344" s="355">
        <f t="shared" si="44"/>
        <v>14</v>
      </c>
      <c r="C344" s="28" t="s">
        <v>19</v>
      </c>
      <c r="D344" s="21"/>
      <c r="E344" s="42" t="str">
        <f t="shared" si="43"/>
        <v>.bit 13E</v>
      </c>
      <c r="F344" s="273"/>
      <c r="G344" s="421"/>
      <c r="H344" s="269"/>
      <c r="I344" s="256"/>
      <c r="J344" s="269"/>
      <c r="K344" s="247"/>
      <c r="L344" s="81"/>
      <c r="M344" s="81"/>
      <c r="N344" s="81"/>
      <c r="O344" s="81"/>
      <c r="P344" s="81"/>
      <c r="Q344" s="81"/>
    </row>
    <row r="345" spans="1:17" ht="15" customHeight="1" x14ac:dyDescent="0.45">
      <c r="A345" s="654"/>
      <c r="B345" s="45">
        <f t="shared" si="44"/>
        <v>15</v>
      </c>
      <c r="C345" s="46" t="s">
        <v>20</v>
      </c>
      <c r="D345" s="53"/>
      <c r="E345" s="48" t="str">
        <f t="shared" si="43"/>
        <v>.bit 13F</v>
      </c>
      <c r="F345" s="100"/>
      <c r="G345" s="421"/>
      <c r="H345" s="269"/>
      <c r="I345" s="256"/>
      <c r="J345" s="269"/>
      <c r="K345" s="247"/>
      <c r="L345" s="81"/>
      <c r="M345" s="81"/>
      <c r="N345" s="81"/>
      <c r="O345" s="81"/>
      <c r="P345" s="81"/>
      <c r="Q345" s="81"/>
    </row>
    <row r="346" spans="1:17" ht="15" customHeight="1" x14ac:dyDescent="0.45">
      <c r="A346" s="654"/>
      <c r="B346" s="178" t="s">
        <v>401</v>
      </c>
      <c r="C346" s="50" t="str">
        <f>CONCATENATE("0x", DEC2HEX(5+HEX2DEC('[1]inicio zonas'!$B$14)))</f>
        <v>0xD5</v>
      </c>
      <c r="D346" s="58"/>
      <c r="E346" s="59"/>
      <c r="F346" s="55" t="s">
        <v>416</v>
      </c>
      <c r="G346" s="552" t="s">
        <v>936</v>
      </c>
      <c r="H346" s="87" t="s">
        <v>936</v>
      </c>
      <c r="I346" s="491"/>
      <c r="J346" s="87" t="s">
        <v>391</v>
      </c>
      <c r="K346" s="243">
        <v>0</v>
      </c>
      <c r="L346" s="81"/>
      <c r="M346" s="81"/>
      <c r="N346" s="81"/>
      <c r="O346" s="81"/>
      <c r="P346" s="81"/>
      <c r="Q346" s="81"/>
    </row>
    <row r="347" spans="1:17" ht="15" customHeight="1" x14ac:dyDescent="0.45">
      <c r="A347" s="654"/>
      <c r="B347" s="178" t="s">
        <v>407</v>
      </c>
      <c r="C347" s="50" t="str">
        <f>CONCATENATE("0x", DEC2HEX(6+HEX2DEC('[1]inicio zonas'!$B$14)))</f>
        <v>0xD6</v>
      </c>
      <c r="D347" s="179"/>
      <c r="E347" s="180"/>
      <c r="F347" s="55" t="s">
        <v>409</v>
      </c>
      <c r="G347" s="552" t="s">
        <v>936</v>
      </c>
      <c r="H347" s="87" t="s">
        <v>936</v>
      </c>
      <c r="I347" s="491"/>
      <c r="J347" s="87" t="s">
        <v>391</v>
      </c>
      <c r="K347" s="243">
        <v>0</v>
      </c>
      <c r="L347" s="81"/>
      <c r="M347" s="81"/>
      <c r="N347" s="81"/>
      <c r="O347" s="81"/>
      <c r="P347" s="81"/>
      <c r="Q347" s="81"/>
    </row>
    <row r="348" spans="1:17" ht="15" customHeight="1" x14ac:dyDescent="0.45">
      <c r="A348" s="654"/>
      <c r="B348" s="178" t="s">
        <v>408</v>
      </c>
      <c r="C348" s="50" t="str">
        <f>CONCATENATE("0x", DEC2HEX(7+HEX2DEC('[1]inicio zonas'!$B$14)))</f>
        <v>0xD7</v>
      </c>
      <c r="D348" s="179"/>
      <c r="E348" s="180"/>
      <c r="F348" s="55" t="s">
        <v>410</v>
      </c>
      <c r="G348" s="552" t="s">
        <v>936</v>
      </c>
      <c r="H348" s="87" t="s">
        <v>936</v>
      </c>
      <c r="I348" s="491"/>
      <c r="J348" s="87" t="s">
        <v>391</v>
      </c>
      <c r="K348" s="243">
        <v>0</v>
      </c>
      <c r="L348" s="81"/>
      <c r="M348" s="81"/>
      <c r="N348" s="81"/>
      <c r="O348" s="81"/>
      <c r="P348" s="81"/>
      <c r="Q348" s="81"/>
    </row>
    <row r="349" spans="1:17" ht="15" customHeight="1" x14ac:dyDescent="0.45">
      <c r="A349" s="654"/>
      <c r="B349" s="177" t="s">
        <v>406</v>
      </c>
      <c r="C349" s="50" t="str">
        <f>CONCATENATE("0x", DEC2HEX(8+HEX2DEC('[1]inicio zonas'!$B$14)))</f>
        <v>0xD8</v>
      </c>
      <c r="D349" s="58"/>
      <c r="E349" s="181"/>
      <c r="F349" s="100" t="s">
        <v>415</v>
      </c>
      <c r="G349" s="552" t="s">
        <v>936</v>
      </c>
      <c r="H349" s="87" t="s">
        <v>936</v>
      </c>
      <c r="I349" s="491"/>
      <c r="J349" s="87" t="s">
        <v>391</v>
      </c>
      <c r="K349" s="243">
        <v>0</v>
      </c>
      <c r="L349" s="81"/>
      <c r="M349" s="81"/>
      <c r="N349" s="81"/>
      <c r="O349" s="81"/>
      <c r="P349" s="81"/>
      <c r="Q349" s="81"/>
    </row>
    <row r="350" spans="1:17" ht="15" customHeight="1" x14ac:dyDescent="0.45">
      <c r="A350" s="654"/>
      <c r="B350" s="177" t="s">
        <v>411</v>
      </c>
      <c r="C350" s="50" t="str">
        <f>CONCATENATE("0x", DEC2HEX(9+HEX2DEC('[1]inicio zonas'!$B$14)))</f>
        <v>0xD9</v>
      </c>
      <c r="D350" s="58"/>
      <c r="E350" s="181"/>
      <c r="F350" s="55" t="s">
        <v>413</v>
      </c>
      <c r="G350" s="552" t="s">
        <v>936</v>
      </c>
      <c r="H350" s="87" t="s">
        <v>936</v>
      </c>
      <c r="I350" s="491"/>
      <c r="J350" s="87" t="s">
        <v>391</v>
      </c>
      <c r="K350" s="243">
        <v>0</v>
      </c>
      <c r="L350" s="81"/>
      <c r="M350" s="81"/>
      <c r="N350" s="81"/>
      <c r="O350" s="81"/>
      <c r="P350" s="81"/>
      <c r="Q350" s="81"/>
    </row>
    <row r="351" spans="1:17" ht="15" customHeight="1" x14ac:dyDescent="0.45">
      <c r="A351" s="654"/>
      <c r="B351" s="177" t="s">
        <v>412</v>
      </c>
      <c r="C351" s="50" t="str">
        <f>CONCATENATE("0x", DEC2HEX(10+HEX2DEC('[1]inicio zonas'!$B$14)))</f>
        <v>0xDA</v>
      </c>
      <c r="D351" s="58"/>
      <c r="E351" s="181"/>
      <c r="F351" s="55" t="s">
        <v>414</v>
      </c>
      <c r="G351" s="552" t="s">
        <v>936</v>
      </c>
      <c r="H351" s="87" t="s">
        <v>936</v>
      </c>
      <c r="I351" s="491"/>
      <c r="J351" s="87" t="s">
        <v>391</v>
      </c>
      <c r="K351" s="243">
        <v>0</v>
      </c>
      <c r="L351" s="81"/>
      <c r="M351" s="81"/>
      <c r="N351" s="81"/>
      <c r="O351" s="81"/>
      <c r="P351" s="81"/>
      <c r="Q351" s="81"/>
    </row>
    <row r="352" spans="1:17" ht="15" customHeight="1" x14ac:dyDescent="0.45">
      <c r="A352" s="654"/>
      <c r="B352" s="177" t="s">
        <v>417</v>
      </c>
      <c r="C352" s="50" t="str">
        <f>CONCATENATE("0x", DEC2HEX(11+HEX2DEC('[1]inicio zonas'!$B$14)))</f>
        <v>0xDB</v>
      </c>
      <c r="D352" s="58"/>
      <c r="E352" s="181"/>
      <c r="F352" s="55" t="s">
        <v>418</v>
      </c>
      <c r="G352" s="552" t="s">
        <v>936</v>
      </c>
      <c r="H352" s="87" t="s">
        <v>936</v>
      </c>
      <c r="I352" s="491"/>
      <c r="J352" s="87" t="s">
        <v>391</v>
      </c>
      <c r="K352" s="243">
        <v>0</v>
      </c>
      <c r="L352" s="81"/>
      <c r="M352" s="81"/>
      <c r="N352" s="81"/>
      <c r="O352" s="81"/>
      <c r="P352" s="81"/>
      <c r="Q352" s="81"/>
    </row>
    <row r="353" spans="1:17" ht="15" customHeight="1" x14ac:dyDescent="0.45">
      <c r="A353" s="175"/>
      <c r="B353" s="176"/>
      <c r="C353" s="26"/>
      <c r="D353" s="15"/>
      <c r="E353" s="34"/>
      <c r="F353" s="21"/>
      <c r="G353" s="236"/>
      <c r="H353" s="561"/>
      <c r="I353" s="85"/>
      <c r="J353" s="236"/>
      <c r="K353" s="421"/>
      <c r="L353" s="21"/>
      <c r="M353" s="21"/>
      <c r="N353" s="21"/>
      <c r="O353" s="21"/>
      <c r="P353" s="21"/>
      <c r="Q353" s="21"/>
    </row>
    <row r="354" spans="1:17" x14ac:dyDescent="0.45">
      <c r="A354" s="75"/>
      <c r="B354" s="21"/>
      <c r="C354" s="26"/>
      <c r="D354" s="81"/>
      <c r="E354" s="85"/>
      <c r="F354" s="86"/>
      <c r="G354" s="421"/>
      <c r="H354" s="273"/>
      <c r="I354" s="25"/>
      <c r="J354" s="21"/>
      <c r="K354" s="263"/>
      <c r="M354" s="21"/>
      <c r="N354" s="21"/>
      <c r="O354" s="21"/>
      <c r="P354" s="21"/>
      <c r="Q354" s="21"/>
    </row>
    <row r="355" spans="1:17" x14ac:dyDescent="0.45">
      <c r="A355" s="661" t="s">
        <v>346</v>
      </c>
      <c r="B355" s="137" t="s">
        <v>574</v>
      </c>
      <c r="C355" s="129" t="str">
        <f>CONCATENATE("0x", DEC2HEX(HEX2DEC('inicio zonas'!$B$16)))</f>
        <v>0xF0</v>
      </c>
      <c r="D355" s="138"/>
      <c r="E355" s="168"/>
      <c r="F355" s="76" t="s">
        <v>575</v>
      </c>
      <c r="G355" s="552" t="s">
        <v>923</v>
      </c>
      <c r="H355" s="87" t="s">
        <v>923</v>
      </c>
      <c r="I355" s="491"/>
      <c r="J355" s="87" t="s">
        <v>921</v>
      </c>
      <c r="K355" s="243">
        <v>0</v>
      </c>
      <c r="M355" s="87" t="s">
        <v>578</v>
      </c>
      <c r="N355" s="87" t="s">
        <v>577</v>
      </c>
    </row>
    <row r="356" spans="1:17" x14ac:dyDescent="0.45">
      <c r="A356" s="662"/>
      <c r="B356" s="166" t="s">
        <v>573</v>
      </c>
      <c r="C356" s="129" t="str">
        <f>CONCATENATE("0x", DEC2HEX(1+HEX2DEC('inicio zonas'!$B$16)))</f>
        <v>0xF1</v>
      </c>
      <c r="D356" s="138"/>
      <c r="E356" s="168"/>
      <c r="F356" s="76" t="s">
        <v>576</v>
      </c>
      <c r="G356" s="552" t="s">
        <v>923</v>
      </c>
      <c r="H356" s="87" t="s">
        <v>923</v>
      </c>
      <c r="I356" s="491"/>
      <c r="J356" s="87" t="s">
        <v>921</v>
      </c>
      <c r="K356" s="243">
        <v>0</v>
      </c>
      <c r="M356" s="87" t="s">
        <v>577</v>
      </c>
      <c r="N356" s="87" t="s">
        <v>578</v>
      </c>
    </row>
    <row r="357" spans="1:17" ht="15" customHeight="1" x14ac:dyDescent="0.45">
      <c r="A357" s="175"/>
      <c r="B357" s="128"/>
      <c r="C357" s="26"/>
      <c r="D357" s="15"/>
      <c r="E357" s="34"/>
      <c r="F357" s="21"/>
      <c r="G357" s="421"/>
      <c r="H357" s="273"/>
      <c r="I357" s="25"/>
      <c r="J357" s="21"/>
      <c r="K357" s="263"/>
      <c r="M357" s="87" t="s">
        <v>579</v>
      </c>
      <c r="N357" s="87" t="s">
        <v>577</v>
      </c>
    </row>
    <row r="358" spans="1:17" x14ac:dyDescent="0.45">
      <c r="G358" s="421"/>
      <c r="H358" s="273"/>
      <c r="I358" s="25"/>
      <c r="J358" s="21"/>
      <c r="K358" s="263"/>
      <c r="M358" s="87" t="s">
        <v>577</v>
      </c>
      <c r="N358" s="87" t="s">
        <v>579</v>
      </c>
    </row>
    <row r="359" spans="1:17" x14ac:dyDescent="0.45">
      <c r="A359" s="645" t="s">
        <v>336</v>
      </c>
      <c r="B359" s="54" t="s">
        <v>347</v>
      </c>
      <c r="C359" s="51" t="str">
        <f>CONCATENATE("0x",DEC2HEX(HEX2DEC('inicio zonas'!$B$17)))</f>
        <v>0x100</v>
      </c>
      <c r="D359" s="51"/>
      <c r="E359" s="52"/>
      <c r="F359" s="54"/>
      <c r="G359" s="545"/>
      <c r="H359" s="369"/>
      <c r="I359" s="420"/>
      <c r="J359" s="221"/>
      <c r="K359" s="245"/>
    </row>
    <row r="360" spans="1:17" x14ac:dyDescent="0.45">
      <c r="A360" s="646"/>
      <c r="B360" s="148">
        <v>0</v>
      </c>
      <c r="C360" s="28" t="s">
        <v>2</v>
      </c>
      <c r="D360" s="21" t="s">
        <v>331</v>
      </c>
      <c r="E360" s="42" t="str">
        <f>CONCATENATE($C$359,DEC2HEX(B360))</f>
        <v>0x1000</v>
      </c>
      <c r="F360" s="99" t="s">
        <v>335</v>
      </c>
      <c r="G360" s="421" t="s">
        <v>923</v>
      </c>
      <c r="H360" s="269" t="s">
        <v>923</v>
      </c>
      <c r="I360" s="256"/>
      <c r="J360" s="222" t="s">
        <v>921</v>
      </c>
      <c r="K360" s="247">
        <v>0</v>
      </c>
    </row>
    <row r="361" spans="1:17" x14ac:dyDescent="0.45">
      <c r="A361" s="646"/>
      <c r="B361" s="148">
        <f>B360+1</f>
        <v>1</v>
      </c>
      <c r="C361" s="28" t="s">
        <v>4</v>
      </c>
      <c r="D361" s="21" t="s">
        <v>332</v>
      </c>
      <c r="E361" s="42" t="str">
        <f t="shared" ref="E361:E375" si="45">CONCATENATE($C$359,DEC2HEX(B361))</f>
        <v>0x1001</v>
      </c>
      <c r="F361" s="99" t="s">
        <v>335</v>
      </c>
      <c r="G361" s="421" t="s">
        <v>923</v>
      </c>
      <c r="H361" s="269" t="s">
        <v>923</v>
      </c>
      <c r="I361" s="256"/>
      <c r="J361" s="222" t="s">
        <v>921</v>
      </c>
      <c r="K361" s="247">
        <v>0</v>
      </c>
    </row>
    <row r="362" spans="1:17" x14ac:dyDescent="0.45">
      <c r="A362" s="646"/>
      <c r="B362" s="148">
        <f t="shared" ref="B362:B375" si="46">B361+1</f>
        <v>2</v>
      </c>
      <c r="C362" s="28" t="s">
        <v>6</v>
      </c>
      <c r="D362" s="21" t="s">
        <v>333</v>
      </c>
      <c r="E362" s="42" t="str">
        <f t="shared" si="45"/>
        <v>0x1002</v>
      </c>
      <c r="F362" s="99" t="s">
        <v>335</v>
      </c>
      <c r="G362" s="421" t="s">
        <v>923</v>
      </c>
      <c r="H362" s="269" t="s">
        <v>923</v>
      </c>
      <c r="I362" s="256"/>
      <c r="J362" s="222" t="s">
        <v>921</v>
      </c>
      <c r="K362" s="247">
        <v>0</v>
      </c>
    </row>
    <row r="363" spans="1:17" x14ac:dyDescent="0.45">
      <c r="A363" s="646"/>
      <c r="B363" s="148">
        <f t="shared" si="46"/>
        <v>3</v>
      </c>
      <c r="C363" s="28" t="s">
        <v>7</v>
      </c>
      <c r="D363" s="21" t="s">
        <v>334</v>
      </c>
      <c r="E363" s="42" t="str">
        <f t="shared" si="45"/>
        <v>0x1003</v>
      </c>
      <c r="F363" s="99" t="s">
        <v>335</v>
      </c>
      <c r="G363" s="421" t="s">
        <v>923</v>
      </c>
      <c r="H363" s="269" t="s">
        <v>923</v>
      </c>
      <c r="I363" s="256"/>
      <c r="J363" s="222" t="s">
        <v>921</v>
      </c>
      <c r="K363" s="247">
        <v>0</v>
      </c>
    </row>
    <row r="364" spans="1:17" x14ac:dyDescent="0.45">
      <c r="A364" s="646"/>
      <c r="B364" s="148">
        <f t="shared" si="46"/>
        <v>4</v>
      </c>
      <c r="C364" s="28" t="s">
        <v>8</v>
      </c>
      <c r="D364" s="21"/>
      <c r="E364" s="42" t="str">
        <f t="shared" si="45"/>
        <v>0x1004</v>
      </c>
      <c r="F364" s="99"/>
      <c r="G364" s="421"/>
      <c r="H364" s="269"/>
      <c r="I364" s="256"/>
      <c r="J364" s="222"/>
      <c r="K364" s="247"/>
    </row>
    <row r="365" spans="1:17" x14ac:dyDescent="0.45">
      <c r="A365" s="646"/>
      <c r="B365" s="148">
        <f t="shared" si="46"/>
        <v>5</v>
      </c>
      <c r="C365" s="28" t="s">
        <v>9</v>
      </c>
      <c r="D365" s="21"/>
      <c r="E365" s="42" t="str">
        <f t="shared" si="45"/>
        <v>0x1005</v>
      </c>
      <c r="F365" s="99"/>
      <c r="G365" s="421"/>
      <c r="H365" s="269"/>
      <c r="I365" s="256"/>
      <c r="J365" s="222"/>
      <c r="K365" s="247"/>
    </row>
    <row r="366" spans="1:17" x14ac:dyDescent="0.45">
      <c r="A366" s="646"/>
      <c r="B366" s="148">
        <f t="shared" si="46"/>
        <v>6</v>
      </c>
      <c r="C366" s="28" t="s">
        <v>10</v>
      </c>
      <c r="D366" s="21"/>
      <c r="E366" s="42" t="str">
        <f t="shared" si="45"/>
        <v>0x1006</v>
      </c>
      <c r="F366" s="99"/>
      <c r="G366" s="421"/>
      <c r="H366" s="269"/>
      <c r="I366" s="256"/>
      <c r="J366" s="222"/>
      <c r="K366" s="247"/>
    </row>
    <row r="367" spans="1:17" x14ac:dyDescent="0.45">
      <c r="A367" s="646"/>
      <c r="B367" s="148">
        <f t="shared" si="46"/>
        <v>7</v>
      </c>
      <c r="C367" s="28" t="s">
        <v>12</v>
      </c>
      <c r="D367" s="21"/>
      <c r="E367" s="42" t="str">
        <f t="shared" si="45"/>
        <v>0x1007</v>
      </c>
      <c r="F367" s="99"/>
      <c r="G367" s="421"/>
      <c r="H367" s="269"/>
      <c r="I367" s="256"/>
      <c r="J367" s="222"/>
      <c r="K367" s="247"/>
    </row>
    <row r="368" spans="1:17" x14ac:dyDescent="0.45">
      <c r="A368" s="646"/>
      <c r="B368" s="148">
        <f t="shared" si="46"/>
        <v>8</v>
      </c>
      <c r="C368" s="28" t="s">
        <v>13</v>
      </c>
      <c r="D368" s="21"/>
      <c r="E368" s="42" t="str">
        <f t="shared" si="45"/>
        <v>0x1008</v>
      </c>
      <c r="F368" s="99"/>
      <c r="G368" s="421"/>
      <c r="H368" s="269"/>
      <c r="I368" s="256"/>
      <c r="J368" s="222"/>
      <c r="K368" s="247"/>
    </row>
    <row r="369" spans="1:11" x14ac:dyDescent="0.45">
      <c r="A369" s="646"/>
      <c r="B369" s="148">
        <f t="shared" si="46"/>
        <v>9</v>
      </c>
      <c r="C369" s="28" t="s">
        <v>14</v>
      </c>
      <c r="D369" s="21"/>
      <c r="E369" s="42" t="str">
        <f t="shared" si="45"/>
        <v>0x1009</v>
      </c>
      <c r="F369" s="99"/>
      <c r="G369" s="421"/>
      <c r="H369" s="269"/>
      <c r="I369" s="256"/>
      <c r="J369" s="222"/>
      <c r="K369" s="247"/>
    </row>
    <row r="370" spans="1:11" x14ac:dyDescent="0.45">
      <c r="A370" s="646"/>
      <c r="B370" s="148">
        <f t="shared" si="46"/>
        <v>10</v>
      </c>
      <c r="C370" s="28" t="s">
        <v>15</v>
      </c>
      <c r="D370" s="21"/>
      <c r="E370" s="42" t="str">
        <f t="shared" si="45"/>
        <v>0x100A</v>
      </c>
      <c r="F370" s="99"/>
      <c r="G370" s="421"/>
      <c r="H370" s="269"/>
      <c r="I370" s="256"/>
      <c r="J370" s="222"/>
      <c r="K370" s="247"/>
    </row>
    <row r="371" spans="1:11" x14ac:dyDescent="0.45">
      <c r="A371" s="646"/>
      <c r="B371" s="148">
        <f t="shared" si="46"/>
        <v>11</v>
      </c>
      <c r="C371" s="28" t="s">
        <v>16</v>
      </c>
      <c r="D371" s="21"/>
      <c r="E371" s="42" t="str">
        <f t="shared" si="45"/>
        <v>0x100B</v>
      </c>
      <c r="F371" s="99"/>
      <c r="G371" s="421"/>
      <c r="H371" s="269"/>
      <c r="I371" s="256"/>
      <c r="J371" s="222"/>
      <c r="K371" s="247"/>
    </row>
    <row r="372" spans="1:11" x14ac:dyDescent="0.45">
      <c r="A372" s="646"/>
      <c r="B372" s="148">
        <f t="shared" si="46"/>
        <v>12</v>
      </c>
      <c r="C372" s="28" t="s">
        <v>17</v>
      </c>
      <c r="D372" s="21"/>
      <c r="E372" s="42" t="str">
        <f t="shared" si="45"/>
        <v>0x100C</v>
      </c>
      <c r="F372" s="99"/>
      <c r="G372" s="421"/>
      <c r="H372" s="269"/>
      <c r="I372" s="256"/>
      <c r="J372" s="222"/>
      <c r="K372" s="247"/>
    </row>
    <row r="373" spans="1:11" x14ac:dyDescent="0.45">
      <c r="A373" s="646"/>
      <c r="B373" s="148">
        <f t="shared" si="46"/>
        <v>13</v>
      </c>
      <c r="C373" s="28" t="s">
        <v>18</v>
      </c>
      <c r="D373" s="21"/>
      <c r="E373" s="42" t="str">
        <f t="shared" si="45"/>
        <v>0x100D</v>
      </c>
      <c r="F373" s="99"/>
      <c r="G373" s="421"/>
      <c r="H373" s="269"/>
      <c r="I373" s="256"/>
      <c r="J373" s="222"/>
      <c r="K373" s="247"/>
    </row>
    <row r="374" spans="1:11" x14ac:dyDescent="0.45">
      <c r="A374" s="646"/>
      <c r="B374" s="148">
        <f t="shared" si="46"/>
        <v>14</v>
      </c>
      <c r="C374" s="28" t="s">
        <v>19</v>
      </c>
      <c r="D374" s="21"/>
      <c r="E374" s="42" t="str">
        <f t="shared" si="45"/>
        <v>0x100E</v>
      </c>
      <c r="F374" s="99"/>
      <c r="G374" s="421"/>
      <c r="H374" s="269"/>
      <c r="I374" s="256"/>
      <c r="J374" s="222"/>
      <c r="K374" s="247"/>
    </row>
    <row r="375" spans="1:11" x14ac:dyDescent="0.45">
      <c r="A375" s="647"/>
      <c r="B375" s="45">
        <f t="shared" si="46"/>
        <v>15</v>
      </c>
      <c r="C375" s="46" t="s">
        <v>20</v>
      </c>
      <c r="D375" s="53"/>
      <c r="E375" s="48" t="str">
        <f t="shared" si="45"/>
        <v>0x100F</v>
      </c>
      <c r="F375" s="100"/>
      <c r="G375" s="550"/>
      <c r="H375" s="223"/>
      <c r="I375" s="226"/>
      <c r="J375" s="223"/>
      <c r="K375" s="257"/>
    </row>
    <row r="376" spans="1:11" x14ac:dyDescent="0.45">
      <c r="G376" s="421"/>
      <c r="H376" s="273"/>
      <c r="I376" s="25"/>
      <c r="J376" s="21"/>
      <c r="K376" s="263"/>
    </row>
    <row r="377" spans="1:11" x14ac:dyDescent="0.45">
      <c r="G377" s="421"/>
      <c r="H377" s="273"/>
      <c r="I377" s="25"/>
      <c r="J377" s="21"/>
      <c r="K377" s="263"/>
    </row>
    <row r="378" spans="1:11" x14ac:dyDescent="0.45">
      <c r="A378" s="645" t="s">
        <v>343</v>
      </c>
      <c r="B378" s="54" t="s">
        <v>337</v>
      </c>
      <c r="C378" s="51" t="str">
        <f>CONCATENATE("0x",DEC2HEX(HEX2DEC('inicio zonas'!$B$18)))</f>
        <v>0x110</v>
      </c>
      <c r="D378" s="51"/>
      <c r="E378" s="52"/>
      <c r="F378" s="54"/>
      <c r="G378" s="545"/>
      <c r="H378" s="369"/>
      <c r="I378" s="420"/>
      <c r="J378" s="221"/>
      <c r="K378" s="245"/>
    </row>
    <row r="379" spans="1:11" x14ac:dyDescent="0.45">
      <c r="A379" s="646"/>
      <c r="B379" s="148">
        <v>0</v>
      </c>
      <c r="C379" s="28" t="s">
        <v>2</v>
      </c>
      <c r="D379" s="21" t="s">
        <v>338</v>
      </c>
      <c r="E379" s="42" t="str">
        <f>CONCATENATE($C$378,DEC2HEX(B379))</f>
        <v>0x1100</v>
      </c>
      <c r="F379" s="99" t="s">
        <v>340</v>
      </c>
      <c r="G379" s="421" t="s">
        <v>923</v>
      </c>
      <c r="H379" s="269" t="s">
        <v>923</v>
      </c>
      <c r="I379" s="256"/>
      <c r="J379" s="222" t="s">
        <v>921</v>
      </c>
      <c r="K379" s="247">
        <v>0</v>
      </c>
    </row>
    <row r="380" spans="1:11" x14ac:dyDescent="0.45">
      <c r="A380" s="646"/>
      <c r="B380" s="148">
        <f>B379+1</f>
        <v>1</v>
      </c>
      <c r="C380" s="28" t="s">
        <v>4</v>
      </c>
      <c r="D380" s="21"/>
      <c r="E380" s="42" t="str">
        <f t="shared" ref="E380:E394" si="47">CONCATENATE($C$378,DEC2HEX(B380))</f>
        <v>0x1101</v>
      </c>
      <c r="F380" s="99"/>
      <c r="G380" s="421"/>
      <c r="H380" s="269"/>
      <c r="I380" s="256"/>
      <c r="J380" s="222"/>
      <c r="K380" s="247"/>
    </row>
    <row r="381" spans="1:11" x14ac:dyDescent="0.45">
      <c r="A381" s="646"/>
      <c r="B381" s="148">
        <f t="shared" ref="B381:B394" si="48">B380+1</f>
        <v>2</v>
      </c>
      <c r="C381" s="28" t="s">
        <v>6</v>
      </c>
      <c r="D381" s="21"/>
      <c r="E381" s="42" t="str">
        <f t="shared" si="47"/>
        <v>0x1102</v>
      </c>
      <c r="F381" s="99"/>
      <c r="G381" s="421"/>
      <c r="H381" s="269"/>
      <c r="I381" s="256"/>
      <c r="J381" s="222"/>
      <c r="K381" s="247"/>
    </row>
    <row r="382" spans="1:11" x14ac:dyDescent="0.45">
      <c r="A382" s="646"/>
      <c r="B382" s="148">
        <f t="shared" si="48"/>
        <v>3</v>
      </c>
      <c r="C382" s="28" t="s">
        <v>7</v>
      </c>
      <c r="D382" s="21"/>
      <c r="E382" s="42" t="str">
        <f t="shared" si="47"/>
        <v>0x1103</v>
      </c>
      <c r="F382" s="99"/>
      <c r="G382" s="421"/>
      <c r="H382" s="269"/>
      <c r="I382" s="256"/>
      <c r="J382" s="222"/>
      <c r="K382" s="247"/>
    </row>
    <row r="383" spans="1:11" x14ac:dyDescent="0.45">
      <c r="A383" s="646"/>
      <c r="B383" s="148">
        <f t="shared" si="48"/>
        <v>4</v>
      </c>
      <c r="C383" s="28" t="s">
        <v>8</v>
      </c>
      <c r="D383" s="21"/>
      <c r="E383" s="42" t="str">
        <f t="shared" si="47"/>
        <v>0x1104</v>
      </c>
      <c r="F383" s="99"/>
      <c r="G383" s="421"/>
      <c r="H383" s="269"/>
      <c r="I383" s="256"/>
      <c r="J383" s="222"/>
      <c r="K383" s="247"/>
    </row>
    <row r="384" spans="1:11" x14ac:dyDescent="0.45">
      <c r="A384" s="646"/>
      <c r="B384" s="148">
        <f t="shared" si="48"/>
        <v>5</v>
      </c>
      <c r="C384" s="28" t="s">
        <v>9</v>
      </c>
      <c r="D384" s="21"/>
      <c r="E384" s="42" t="str">
        <f t="shared" si="47"/>
        <v>0x1105</v>
      </c>
      <c r="F384" s="99"/>
      <c r="G384" s="421"/>
      <c r="H384" s="269"/>
      <c r="I384" s="256"/>
      <c r="J384" s="222"/>
      <c r="K384" s="247"/>
    </row>
    <row r="385" spans="1:11" x14ac:dyDescent="0.45">
      <c r="A385" s="646"/>
      <c r="B385" s="148">
        <f t="shared" si="48"/>
        <v>6</v>
      </c>
      <c r="C385" s="28" t="s">
        <v>10</v>
      </c>
      <c r="D385" s="21"/>
      <c r="E385" s="42" t="str">
        <f t="shared" si="47"/>
        <v>0x1106</v>
      </c>
      <c r="F385" s="99"/>
      <c r="G385" s="421"/>
      <c r="H385" s="269"/>
      <c r="I385" s="256"/>
      <c r="J385" s="222"/>
      <c r="K385" s="247"/>
    </row>
    <row r="386" spans="1:11" x14ac:dyDescent="0.45">
      <c r="A386" s="646"/>
      <c r="B386" s="148">
        <f t="shared" si="48"/>
        <v>7</v>
      </c>
      <c r="C386" s="28" t="s">
        <v>12</v>
      </c>
      <c r="D386" s="21"/>
      <c r="E386" s="42" t="str">
        <f t="shared" si="47"/>
        <v>0x1107</v>
      </c>
      <c r="F386" s="99"/>
      <c r="G386" s="421"/>
      <c r="H386" s="269"/>
      <c r="I386" s="256"/>
      <c r="J386" s="222"/>
      <c r="K386" s="247"/>
    </row>
    <row r="387" spans="1:11" x14ac:dyDescent="0.45">
      <c r="A387" s="646"/>
      <c r="B387" s="148">
        <f t="shared" si="48"/>
        <v>8</v>
      </c>
      <c r="C387" s="28" t="s">
        <v>13</v>
      </c>
      <c r="D387" s="641" t="s">
        <v>341</v>
      </c>
      <c r="E387" s="42" t="str">
        <f t="shared" si="47"/>
        <v>0x1108</v>
      </c>
      <c r="F387" s="643" t="s">
        <v>342</v>
      </c>
      <c r="G387" s="621" t="s">
        <v>923</v>
      </c>
      <c r="H387" s="618" t="s">
        <v>923</v>
      </c>
      <c r="I387" s="486"/>
      <c r="J387" s="618" t="s">
        <v>921</v>
      </c>
      <c r="K387" s="615">
        <v>0</v>
      </c>
    </row>
    <row r="388" spans="1:11" x14ac:dyDescent="0.45">
      <c r="A388" s="646"/>
      <c r="B388" s="148">
        <f t="shared" si="48"/>
        <v>9</v>
      </c>
      <c r="C388" s="28" t="s">
        <v>14</v>
      </c>
      <c r="D388" s="641"/>
      <c r="E388" s="42" t="str">
        <f t="shared" si="47"/>
        <v>0x1109</v>
      </c>
      <c r="F388" s="643"/>
      <c r="G388" s="621"/>
      <c r="H388" s="618"/>
      <c r="I388" s="486"/>
      <c r="J388" s="618"/>
      <c r="K388" s="628"/>
    </row>
    <row r="389" spans="1:11" x14ac:dyDescent="0.45">
      <c r="A389" s="646"/>
      <c r="B389" s="148">
        <f t="shared" si="48"/>
        <v>10</v>
      </c>
      <c r="C389" s="28" t="s">
        <v>15</v>
      </c>
      <c r="D389" s="641"/>
      <c r="E389" s="42" t="str">
        <f t="shared" si="47"/>
        <v>0x110A</v>
      </c>
      <c r="F389" s="643"/>
      <c r="G389" s="621"/>
      <c r="H389" s="618"/>
      <c r="I389" s="486"/>
      <c r="J389" s="618"/>
      <c r="K389" s="628"/>
    </row>
    <row r="390" spans="1:11" x14ac:dyDescent="0.45">
      <c r="A390" s="646"/>
      <c r="B390" s="148">
        <f t="shared" si="48"/>
        <v>11</v>
      </c>
      <c r="C390" s="28" t="s">
        <v>16</v>
      </c>
      <c r="D390" s="641"/>
      <c r="E390" s="42" t="str">
        <f t="shared" si="47"/>
        <v>0x110B</v>
      </c>
      <c r="F390" s="643"/>
      <c r="G390" s="621"/>
      <c r="H390" s="618"/>
      <c r="I390" s="486"/>
      <c r="J390" s="618"/>
      <c r="K390" s="628"/>
    </row>
    <row r="391" spans="1:11" x14ac:dyDescent="0.45">
      <c r="A391" s="646"/>
      <c r="B391" s="148">
        <f t="shared" si="48"/>
        <v>12</v>
      </c>
      <c r="C391" s="28" t="s">
        <v>17</v>
      </c>
      <c r="D391" s="641"/>
      <c r="E391" s="42" t="str">
        <f t="shared" si="47"/>
        <v>0x110C</v>
      </c>
      <c r="F391" s="643"/>
      <c r="G391" s="621"/>
      <c r="H391" s="618"/>
      <c r="I391" s="486"/>
      <c r="J391" s="618"/>
      <c r="K391" s="628"/>
    </row>
    <row r="392" spans="1:11" x14ac:dyDescent="0.45">
      <c r="A392" s="646"/>
      <c r="B392" s="148">
        <f t="shared" si="48"/>
        <v>13</v>
      </c>
      <c r="C392" s="28" t="s">
        <v>18</v>
      </c>
      <c r="D392" s="641"/>
      <c r="E392" s="42" t="str">
        <f t="shared" si="47"/>
        <v>0x110D</v>
      </c>
      <c r="F392" s="643"/>
      <c r="G392" s="621"/>
      <c r="H392" s="618"/>
      <c r="I392" s="486"/>
      <c r="J392" s="618"/>
      <c r="K392" s="628"/>
    </row>
    <row r="393" spans="1:11" x14ac:dyDescent="0.45">
      <c r="A393" s="646"/>
      <c r="B393" s="148">
        <f t="shared" si="48"/>
        <v>14</v>
      </c>
      <c r="C393" s="28" t="s">
        <v>19</v>
      </c>
      <c r="D393" s="641"/>
      <c r="E393" s="42" t="str">
        <f t="shared" si="47"/>
        <v>0x110E</v>
      </c>
      <c r="F393" s="643"/>
      <c r="G393" s="621"/>
      <c r="H393" s="618"/>
      <c r="I393" s="486"/>
      <c r="J393" s="618"/>
      <c r="K393" s="628"/>
    </row>
    <row r="394" spans="1:11" x14ac:dyDescent="0.45">
      <c r="A394" s="647"/>
      <c r="B394" s="148">
        <f t="shared" si="48"/>
        <v>15</v>
      </c>
      <c r="C394" s="28" t="s">
        <v>20</v>
      </c>
      <c r="D394" s="642"/>
      <c r="E394" s="42" t="str">
        <f t="shared" si="47"/>
        <v>0x110F</v>
      </c>
      <c r="F394" s="644"/>
      <c r="G394" s="622"/>
      <c r="H394" s="619"/>
      <c r="I394" s="487"/>
      <c r="J394" s="619"/>
      <c r="K394" s="629"/>
    </row>
    <row r="395" spans="1:11" ht="15" customHeight="1" x14ac:dyDescent="0.45">
      <c r="A395" s="645" t="s">
        <v>344</v>
      </c>
      <c r="B395" s="54" t="s">
        <v>337</v>
      </c>
      <c r="C395" s="51" t="str">
        <f>CONCATENATE("0x",DEC2HEX(2+HEX2DEC('inicio zonas'!$B$18)))</f>
        <v>0x112</v>
      </c>
      <c r="D395" s="51"/>
      <c r="E395" s="52"/>
      <c r="F395" s="54"/>
      <c r="G395" s="545"/>
      <c r="H395" s="369"/>
      <c r="I395" s="420"/>
      <c r="J395" s="221"/>
      <c r="K395" s="245"/>
    </row>
    <row r="396" spans="1:11" ht="15" customHeight="1" x14ac:dyDescent="0.45">
      <c r="A396" s="646"/>
      <c r="B396" s="148">
        <v>0</v>
      </c>
      <c r="C396" s="28" t="s">
        <v>2</v>
      </c>
      <c r="D396" s="21" t="s">
        <v>338</v>
      </c>
      <c r="E396" s="42" t="str">
        <f t="shared" ref="E396:E411" si="49">CONCATENATE($C$395,DEC2HEX(B396))</f>
        <v>0x1120</v>
      </c>
      <c r="F396" s="99" t="s">
        <v>340</v>
      </c>
      <c r="G396" s="421" t="s">
        <v>923</v>
      </c>
      <c r="H396" s="269" t="s">
        <v>923</v>
      </c>
      <c r="I396" s="256"/>
      <c r="J396" s="222" t="s">
        <v>921</v>
      </c>
      <c r="K396" s="247">
        <v>0</v>
      </c>
    </row>
    <row r="397" spans="1:11" ht="15" customHeight="1" x14ac:dyDescent="0.45">
      <c r="A397" s="646"/>
      <c r="B397" s="148">
        <f>B396+1</f>
        <v>1</v>
      </c>
      <c r="C397" s="28" t="s">
        <v>4</v>
      </c>
      <c r="D397" s="21"/>
      <c r="E397" s="42" t="str">
        <f t="shared" si="49"/>
        <v>0x1121</v>
      </c>
      <c r="F397" s="99"/>
      <c r="G397" s="421"/>
      <c r="H397" s="269"/>
      <c r="I397" s="256"/>
      <c r="J397" s="222"/>
      <c r="K397" s="247"/>
    </row>
    <row r="398" spans="1:11" ht="15" customHeight="1" x14ac:dyDescent="0.45">
      <c r="A398" s="646"/>
      <c r="B398" s="148">
        <f t="shared" ref="B398:B411" si="50">B397+1</f>
        <v>2</v>
      </c>
      <c r="C398" s="28" t="s">
        <v>6</v>
      </c>
      <c r="D398" s="21"/>
      <c r="E398" s="42" t="str">
        <f t="shared" si="49"/>
        <v>0x1122</v>
      </c>
      <c r="F398" s="99"/>
      <c r="G398" s="421"/>
      <c r="H398" s="269"/>
      <c r="I398" s="256"/>
      <c r="J398" s="222"/>
      <c r="K398" s="247"/>
    </row>
    <row r="399" spans="1:11" ht="15" customHeight="1" x14ac:dyDescent="0.45">
      <c r="A399" s="646"/>
      <c r="B399" s="148">
        <f t="shared" si="50"/>
        <v>3</v>
      </c>
      <c r="C399" s="28" t="s">
        <v>7</v>
      </c>
      <c r="D399" s="21"/>
      <c r="E399" s="42" t="str">
        <f t="shared" si="49"/>
        <v>0x1123</v>
      </c>
      <c r="F399" s="99"/>
      <c r="G399" s="421"/>
      <c r="H399" s="269"/>
      <c r="I399" s="256"/>
      <c r="J399" s="222"/>
      <c r="K399" s="247"/>
    </row>
    <row r="400" spans="1:11" ht="15" customHeight="1" x14ac:dyDescent="0.45">
      <c r="A400" s="646"/>
      <c r="B400" s="148">
        <f t="shared" si="50"/>
        <v>4</v>
      </c>
      <c r="C400" s="28" t="s">
        <v>8</v>
      </c>
      <c r="D400" s="21"/>
      <c r="E400" s="42" t="str">
        <f t="shared" si="49"/>
        <v>0x1124</v>
      </c>
      <c r="F400" s="99"/>
      <c r="G400" s="421"/>
      <c r="H400" s="269"/>
      <c r="I400" s="256"/>
      <c r="J400" s="222"/>
      <c r="K400" s="247"/>
    </row>
    <row r="401" spans="1:11" ht="15" customHeight="1" x14ac:dyDescent="0.45">
      <c r="A401" s="646"/>
      <c r="B401" s="148">
        <f t="shared" si="50"/>
        <v>5</v>
      </c>
      <c r="C401" s="28" t="s">
        <v>9</v>
      </c>
      <c r="D401" s="21"/>
      <c r="E401" s="42" t="str">
        <f t="shared" si="49"/>
        <v>0x1125</v>
      </c>
      <c r="F401" s="99"/>
      <c r="G401" s="421"/>
      <c r="H401" s="269"/>
      <c r="I401" s="256"/>
      <c r="J401" s="222"/>
      <c r="K401" s="247"/>
    </row>
    <row r="402" spans="1:11" ht="15" customHeight="1" x14ac:dyDescent="0.45">
      <c r="A402" s="646"/>
      <c r="B402" s="148">
        <f t="shared" si="50"/>
        <v>6</v>
      </c>
      <c r="C402" s="28" t="s">
        <v>10</v>
      </c>
      <c r="D402" s="21"/>
      <c r="E402" s="42" t="str">
        <f t="shared" si="49"/>
        <v>0x1126</v>
      </c>
      <c r="F402" s="99"/>
      <c r="G402" s="421"/>
      <c r="H402" s="269"/>
      <c r="I402" s="256"/>
      <c r="J402" s="222"/>
      <c r="K402" s="247"/>
    </row>
    <row r="403" spans="1:11" ht="15" customHeight="1" x14ac:dyDescent="0.45">
      <c r="A403" s="646"/>
      <c r="B403" s="148">
        <f t="shared" si="50"/>
        <v>7</v>
      </c>
      <c r="C403" s="28" t="s">
        <v>12</v>
      </c>
      <c r="D403" s="21"/>
      <c r="E403" s="42" t="str">
        <f t="shared" si="49"/>
        <v>0x1127</v>
      </c>
      <c r="F403" s="99"/>
      <c r="G403" s="421"/>
      <c r="H403" s="269"/>
      <c r="I403" s="256"/>
      <c r="J403" s="222"/>
      <c r="K403" s="247"/>
    </row>
    <row r="404" spans="1:11" ht="15" customHeight="1" x14ac:dyDescent="0.45">
      <c r="A404" s="646"/>
      <c r="B404" s="148">
        <f t="shared" si="50"/>
        <v>8</v>
      </c>
      <c r="C404" s="28" t="s">
        <v>13</v>
      </c>
      <c r="D404" s="641" t="s">
        <v>341</v>
      </c>
      <c r="E404" s="42" t="str">
        <f t="shared" si="49"/>
        <v>0x1128</v>
      </c>
      <c r="F404" s="643" t="s">
        <v>342</v>
      </c>
      <c r="G404" s="621" t="s">
        <v>923</v>
      </c>
      <c r="H404" s="618" t="s">
        <v>923</v>
      </c>
      <c r="I404" s="486"/>
      <c r="J404" s="618" t="s">
        <v>921</v>
      </c>
      <c r="K404" s="615">
        <v>0</v>
      </c>
    </row>
    <row r="405" spans="1:11" x14ac:dyDescent="0.45">
      <c r="A405" s="646"/>
      <c r="B405" s="148">
        <f t="shared" si="50"/>
        <v>9</v>
      </c>
      <c r="C405" s="28" t="s">
        <v>14</v>
      </c>
      <c r="D405" s="641"/>
      <c r="E405" s="42" t="str">
        <f t="shared" si="49"/>
        <v>0x1129</v>
      </c>
      <c r="F405" s="643"/>
      <c r="G405" s="621"/>
      <c r="H405" s="618"/>
      <c r="I405" s="486"/>
      <c r="J405" s="618"/>
      <c r="K405" s="628"/>
    </row>
    <row r="406" spans="1:11" x14ac:dyDescent="0.45">
      <c r="A406" s="646"/>
      <c r="B406" s="148">
        <f t="shared" si="50"/>
        <v>10</v>
      </c>
      <c r="C406" s="28" t="s">
        <v>15</v>
      </c>
      <c r="D406" s="641"/>
      <c r="E406" s="42" t="str">
        <f t="shared" si="49"/>
        <v>0x112A</v>
      </c>
      <c r="F406" s="643"/>
      <c r="G406" s="621"/>
      <c r="H406" s="618"/>
      <c r="I406" s="486"/>
      <c r="J406" s="618"/>
      <c r="K406" s="628"/>
    </row>
    <row r="407" spans="1:11" x14ac:dyDescent="0.45">
      <c r="A407" s="646"/>
      <c r="B407" s="148">
        <f t="shared" si="50"/>
        <v>11</v>
      </c>
      <c r="C407" s="28" t="s">
        <v>16</v>
      </c>
      <c r="D407" s="641"/>
      <c r="E407" s="42" t="str">
        <f t="shared" si="49"/>
        <v>0x112B</v>
      </c>
      <c r="F407" s="643"/>
      <c r="G407" s="621"/>
      <c r="H407" s="618"/>
      <c r="I407" s="486"/>
      <c r="J407" s="618"/>
      <c r="K407" s="628"/>
    </row>
    <row r="408" spans="1:11" x14ac:dyDescent="0.45">
      <c r="A408" s="646"/>
      <c r="B408" s="148">
        <f t="shared" si="50"/>
        <v>12</v>
      </c>
      <c r="C408" s="28" t="s">
        <v>17</v>
      </c>
      <c r="D408" s="641"/>
      <c r="E408" s="42" t="str">
        <f t="shared" si="49"/>
        <v>0x112C</v>
      </c>
      <c r="F408" s="643"/>
      <c r="G408" s="621"/>
      <c r="H408" s="618"/>
      <c r="I408" s="486"/>
      <c r="J408" s="618"/>
      <c r="K408" s="628"/>
    </row>
    <row r="409" spans="1:11" x14ac:dyDescent="0.45">
      <c r="A409" s="646"/>
      <c r="B409" s="148">
        <f t="shared" si="50"/>
        <v>13</v>
      </c>
      <c r="C409" s="28" t="s">
        <v>18</v>
      </c>
      <c r="D409" s="641"/>
      <c r="E409" s="42" t="str">
        <f t="shared" si="49"/>
        <v>0x112D</v>
      </c>
      <c r="F409" s="643"/>
      <c r="G409" s="621"/>
      <c r="H409" s="618"/>
      <c r="I409" s="486"/>
      <c r="J409" s="618"/>
      <c r="K409" s="628"/>
    </row>
    <row r="410" spans="1:11" x14ac:dyDescent="0.45">
      <c r="A410" s="646"/>
      <c r="B410" s="148">
        <f t="shared" si="50"/>
        <v>14</v>
      </c>
      <c r="C410" s="28" t="s">
        <v>19</v>
      </c>
      <c r="D410" s="641"/>
      <c r="E410" s="42" t="str">
        <f t="shared" si="49"/>
        <v>0x112E</v>
      </c>
      <c r="F410" s="643"/>
      <c r="G410" s="621"/>
      <c r="H410" s="618"/>
      <c r="I410" s="486"/>
      <c r="J410" s="618"/>
      <c r="K410" s="628"/>
    </row>
    <row r="411" spans="1:11" x14ac:dyDescent="0.45">
      <c r="A411" s="647"/>
      <c r="B411" s="45">
        <f t="shared" si="50"/>
        <v>15</v>
      </c>
      <c r="C411" s="46" t="s">
        <v>20</v>
      </c>
      <c r="D411" s="642"/>
      <c r="E411" s="48" t="str">
        <f t="shared" si="49"/>
        <v>0x112F</v>
      </c>
      <c r="F411" s="644"/>
      <c r="G411" s="622"/>
      <c r="H411" s="619"/>
      <c r="I411" s="487"/>
      <c r="J411" s="619"/>
      <c r="K411" s="629"/>
    </row>
    <row r="412" spans="1:11" x14ac:dyDescent="0.45">
      <c r="A412" s="645" t="s">
        <v>611</v>
      </c>
      <c r="B412" s="54" t="s">
        <v>337</v>
      </c>
      <c r="C412" s="51" t="str">
        <f>CONCATENATE("0x",DEC2HEX(4+HEX2DEC('inicio zonas'!$B$18)))</f>
        <v>0x114</v>
      </c>
      <c r="D412" s="51"/>
      <c r="E412" s="52"/>
      <c r="F412" s="54"/>
      <c r="G412" s="545"/>
      <c r="H412" s="369"/>
      <c r="I412" s="420"/>
      <c r="J412" s="221"/>
      <c r="K412" s="245"/>
    </row>
    <row r="413" spans="1:11" x14ac:dyDescent="0.45">
      <c r="A413" s="646"/>
      <c r="B413" s="148">
        <v>0</v>
      </c>
      <c r="C413" s="28" t="s">
        <v>2</v>
      </c>
      <c r="D413" s="21" t="s">
        <v>338</v>
      </c>
      <c r="E413" s="42" t="str">
        <f>CONCATENATE($C$378,DEC2HEX(B413))</f>
        <v>0x1100</v>
      </c>
      <c r="F413" s="99" t="s">
        <v>340</v>
      </c>
      <c r="G413" s="421" t="s">
        <v>923</v>
      </c>
      <c r="H413" s="269" t="s">
        <v>923</v>
      </c>
      <c r="I413" s="256"/>
      <c r="J413" s="222" t="s">
        <v>921</v>
      </c>
      <c r="K413" s="247">
        <v>0</v>
      </c>
    </row>
    <row r="414" spans="1:11" x14ac:dyDescent="0.45">
      <c r="A414" s="646"/>
      <c r="B414" s="148">
        <f>B413+1</f>
        <v>1</v>
      </c>
      <c r="C414" s="28" t="s">
        <v>4</v>
      </c>
      <c r="D414" s="21"/>
      <c r="E414" s="42" t="str">
        <f t="shared" ref="E414:E428" si="51">CONCATENATE($C$378,DEC2HEX(B414))</f>
        <v>0x1101</v>
      </c>
      <c r="F414" s="99"/>
      <c r="G414" s="421"/>
      <c r="H414" s="269"/>
      <c r="I414" s="256"/>
      <c r="J414" s="222"/>
      <c r="K414" s="247"/>
    </row>
    <row r="415" spans="1:11" x14ac:dyDescent="0.45">
      <c r="A415" s="646"/>
      <c r="B415" s="148">
        <f t="shared" ref="B415:B428" si="52">B414+1</f>
        <v>2</v>
      </c>
      <c r="C415" s="28" t="s">
        <v>6</v>
      </c>
      <c r="D415" s="21"/>
      <c r="E415" s="42" t="str">
        <f t="shared" si="51"/>
        <v>0x1102</v>
      </c>
      <c r="F415" s="99"/>
      <c r="G415" s="421"/>
      <c r="H415" s="269"/>
      <c r="I415" s="256"/>
      <c r="J415" s="222"/>
      <c r="K415" s="247"/>
    </row>
    <row r="416" spans="1:11" x14ac:dyDescent="0.45">
      <c r="A416" s="646"/>
      <c r="B416" s="148">
        <f t="shared" si="52"/>
        <v>3</v>
      </c>
      <c r="C416" s="28" t="s">
        <v>7</v>
      </c>
      <c r="D416" s="21"/>
      <c r="E416" s="42" t="str">
        <f t="shared" si="51"/>
        <v>0x1103</v>
      </c>
      <c r="F416" s="99"/>
      <c r="G416" s="421"/>
      <c r="H416" s="269"/>
      <c r="I416" s="256"/>
      <c r="J416" s="222"/>
      <c r="K416" s="247"/>
    </row>
    <row r="417" spans="1:11" x14ac:dyDescent="0.45">
      <c r="A417" s="646"/>
      <c r="B417" s="148">
        <f t="shared" si="52"/>
        <v>4</v>
      </c>
      <c r="C417" s="28" t="s">
        <v>8</v>
      </c>
      <c r="D417" s="21"/>
      <c r="E417" s="42" t="str">
        <f t="shared" si="51"/>
        <v>0x1104</v>
      </c>
      <c r="F417" s="99"/>
      <c r="G417" s="421"/>
      <c r="H417" s="269"/>
      <c r="I417" s="256"/>
      <c r="J417" s="222"/>
      <c r="K417" s="247"/>
    </row>
    <row r="418" spans="1:11" x14ac:dyDescent="0.45">
      <c r="A418" s="646"/>
      <c r="B418" s="148">
        <f t="shared" si="52"/>
        <v>5</v>
      </c>
      <c r="C418" s="28" t="s">
        <v>9</v>
      </c>
      <c r="D418" s="21"/>
      <c r="E418" s="42" t="str">
        <f t="shared" si="51"/>
        <v>0x1105</v>
      </c>
      <c r="F418" s="99"/>
      <c r="G418" s="421"/>
      <c r="H418" s="269"/>
      <c r="I418" s="256"/>
      <c r="J418" s="222"/>
      <c r="K418" s="247"/>
    </row>
    <row r="419" spans="1:11" x14ac:dyDescent="0.45">
      <c r="A419" s="646"/>
      <c r="B419" s="148">
        <f t="shared" si="52"/>
        <v>6</v>
      </c>
      <c r="C419" s="28" t="s">
        <v>10</v>
      </c>
      <c r="D419" s="21"/>
      <c r="E419" s="42" t="str">
        <f t="shared" si="51"/>
        <v>0x1106</v>
      </c>
      <c r="F419" s="99"/>
      <c r="G419" s="421"/>
      <c r="H419" s="269"/>
      <c r="I419" s="256"/>
      <c r="J419" s="222"/>
      <c r="K419" s="247"/>
    </row>
    <row r="420" spans="1:11" x14ac:dyDescent="0.45">
      <c r="A420" s="646"/>
      <c r="B420" s="148">
        <f t="shared" si="52"/>
        <v>7</v>
      </c>
      <c r="C420" s="28" t="s">
        <v>12</v>
      </c>
      <c r="D420" s="21"/>
      <c r="E420" s="42" t="str">
        <f t="shared" si="51"/>
        <v>0x1107</v>
      </c>
      <c r="F420" s="99"/>
      <c r="G420" s="421"/>
      <c r="H420" s="269"/>
      <c r="I420" s="256"/>
      <c r="J420" s="222"/>
      <c r="K420" s="247"/>
    </row>
    <row r="421" spans="1:11" x14ac:dyDescent="0.45">
      <c r="A421" s="646"/>
      <c r="B421" s="148">
        <f t="shared" si="52"/>
        <v>8</v>
      </c>
      <c r="C421" s="28" t="s">
        <v>13</v>
      </c>
      <c r="D421" s="630" t="s">
        <v>341</v>
      </c>
      <c r="E421" s="42" t="str">
        <f t="shared" si="51"/>
        <v>0x1108</v>
      </c>
      <c r="F421" s="643" t="s">
        <v>342</v>
      </c>
      <c r="G421" s="621" t="s">
        <v>923</v>
      </c>
      <c r="H421" s="618" t="s">
        <v>923</v>
      </c>
      <c r="I421" s="486"/>
      <c r="J421" s="618" t="s">
        <v>921</v>
      </c>
      <c r="K421" s="615">
        <v>0</v>
      </c>
    </row>
    <row r="422" spans="1:11" x14ac:dyDescent="0.45">
      <c r="A422" s="646"/>
      <c r="B422" s="148">
        <f t="shared" si="52"/>
        <v>9</v>
      </c>
      <c r="C422" s="28" t="s">
        <v>14</v>
      </c>
      <c r="D422" s="630"/>
      <c r="E422" s="42" t="str">
        <f t="shared" si="51"/>
        <v>0x1109</v>
      </c>
      <c r="F422" s="643"/>
      <c r="G422" s="621"/>
      <c r="H422" s="618"/>
      <c r="I422" s="486"/>
      <c r="J422" s="618"/>
      <c r="K422" s="628"/>
    </row>
    <row r="423" spans="1:11" x14ac:dyDescent="0.45">
      <c r="A423" s="646"/>
      <c r="B423" s="148">
        <f t="shared" si="52"/>
        <v>10</v>
      </c>
      <c r="C423" s="28" t="s">
        <v>15</v>
      </c>
      <c r="D423" s="630"/>
      <c r="E423" s="42" t="str">
        <f t="shared" si="51"/>
        <v>0x110A</v>
      </c>
      <c r="F423" s="643"/>
      <c r="G423" s="621"/>
      <c r="H423" s="618"/>
      <c r="I423" s="486"/>
      <c r="J423" s="618"/>
      <c r="K423" s="628"/>
    </row>
    <row r="424" spans="1:11" x14ac:dyDescent="0.45">
      <c r="A424" s="646"/>
      <c r="B424" s="148">
        <f t="shared" si="52"/>
        <v>11</v>
      </c>
      <c r="C424" s="28" t="s">
        <v>16</v>
      </c>
      <c r="D424" s="630"/>
      <c r="E424" s="42" t="str">
        <f t="shared" si="51"/>
        <v>0x110B</v>
      </c>
      <c r="F424" s="643"/>
      <c r="G424" s="621"/>
      <c r="H424" s="618"/>
      <c r="I424" s="486"/>
      <c r="J424" s="618"/>
      <c r="K424" s="628"/>
    </row>
    <row r="425" spans="1:11" x14ac:dyDescent="0.45">
      <c r="A425" s="646"/>
      <c r="B425" s="148">
        <f t="shared" si="52"/>
        <v>12</v>
      </c>
      <c r="C425" s="28" t="s">
        <v>17</v>
      </c>
      <c r="D425" s="630"/>
      <c r="E425" s="42" t="str">
        <f t="shared" si="51"/>
        <v>0x110C</v>
      </c>
      <c r="F425" s="643"/>
      <c r="G425" s="621"/>
      <c r="H425" s="618"/>
      <c r="I425" s="486"/>
      <c r="J425" s="618"/>
      <c r="K425" s="628"/>
    </row>
    <row r="426" spans="1:11" x14ac:dyDescent="0.45">
      <c r="A426" s="646"/>
      <c r="B426" s="148">
        <f t="shared" si="52"/>
        <v>13</v>
      </c>
      <c r="C426" s="28" t="s">
        <v>18</v>
      </c>
      <c r="D426" s="630"/>
      <c r="E426" s="42" t="str">
        <f t="shared" si="51"/>
        <v>0x110D</v>
      </c>
      <c r="F426" s="643"/>
      <c r="G426" s="621"/>
      <c r="H426" s="618"/>
      <c r="I426" s="486"/>
      <c r="J426" s="618"/>
      <c r="K426" s="628"/>
    </row>
    <row r="427" spans="1:11" x14ac:dyDescent="0.45">
      <c r="A427" s="646"/>
      <c r="B427" s="148">
        <f t="shared" si="52"/>
        <v>14</v>
      </c>
      <c r="C427" s="28" t="s">
        <v>19</v>
      </c>
      <c r="D427" s="630"/>
      <c r="E427" s="42" t="str">
        <f t="shared" si="51"/>
        <v>0x110E</v>
      </c>
      <c r="F427" s="643"/>
      <c r="G427" s="621"/>
      <c r="H427" s="618"/>
      <c r="I427" s="486"/>
      <c r="J427" s="618"/>
      <c r="K427" s="628"/>
    </row>
    <row r="428" spans="1:11" x14ac:dyDescent="0.45">
      <c r="A428" s="647"/>
      <c r="B428" s="148">
        <f t="shared" si="52"/>
        <v>15</v>
      </c>
      <c r="C428" s="28" t="s">
        <v>20</v>
      </c>
      <c r="D428" s="630"/>
      <c r="E428" s="42" t="str">
        <f t="shared" si="51"/>
        <v>0x110F</v>
      </c>
      <c r="F428" s="644"/>
      <c r="G428" s="622"/>
      <c r="H428" s="619"/>
      <c r="I428" s="487"/>
      <c r="J428" s="619"/>
      <c r="K428" s="629"/>
    </row>
    <row r="429" spans="1:11" ht="15" customHeight="1" x14ac:dyDescent="0.45">
      <c r="A429" s="645" t="s">
        <v>612</v>
      </c>
      <c r="B429" s="54" t="s">
        <v>337</v>
      </c>
      <c r="C429" s="51" t="str">
        <f>CONCATENATE("0x",DEC2HEX(6+HEX2DEC('inicio zonas'!$B$18)))</f>
        <v>0x116</v>
      </c>
      <c r="D429" s="51"/>
      <c r="E429" s="52"/>
      <c r="F429" s="54"/>
      <c r="G429" s="545"/>
      <c r="H429" s="369"/>
      <c r="I429" s="420"/>
      <c r="J429" s="221"/>
      <c r="K429" s="245"/>
    </row>
    <row r="430" spans="1:11" ht="15" customHeight="1" x14ac:dyDescent="0.45">
      <c r="A430" s="646"/>
      <c r="B430" s="148">
        <v>0</v>
      </c>
      <c r="C430" s="28" t="s">
        <v>2</v>
      </c>
      <c r="D430" s="21" t="s">
        <v>338</v>
      </c>
      <c r="E430" s="42" t="str">
        <f t="shared" ref="E430:E445" si="53">CONCATENATE($C$395,DEC2HEX(B430))</f>
        <v>0x1120</v>
      </c>
      <c r="F430" s="99" t="s">
        <v>340</v>
      </c>
      <c r="G430" s="421" t="s">
        <v>923</v>
      </c>
      <c r="H430" s="269" t="s">
        <v>923</v>
      </c>
      <c r="I430" s="256"/>
      <c r="J430" s="222" t="s">
        <v>921</v>
      </c>
      <c r="K430" s="247">
        <v>0</v>
      </c>
    </row>
    <row r="431" spans="1:11" ht="15" customHeight="1" x14ac:dyDescent="0.45">
      <c r="A431" s="646"/>
      <c r="B431" s="148">
        <f>B430+1</f>
        <v>1</v>
      </c>
      <c r="C431" s="28" t="s">
        <v>4</v>
      </c>
      <c r="D431" s="21"/>
      <c r="E431" s="42" t="str">
        <f t="shared" si="53"/>
        <v>0x1121</v>
      </c>
      <c r="F431" s="99"/>
      <c r="G431" s="421"/>
      <c r="H431" s="269"/>
      <c r="I431" s="256"/>
      <c r="J431" s="222"/>
      <c r="K431" s="247"/>
    </row>
    <row r="432" spans="1:11" ht="15" customHeight="1" x14ac:dyDescent="0.45">
      <c r="A432" s="646"/>
      <c r="B432" s="148">
        <f t="shared" ref="B432:B445" si="54">B431+1</f>
        <v>2</v>
      </c>
      <c r="C432" s="28" t="s">
        <v>6</v>
      </c>
      <c r="D432" s="21"/>
      <c r="E432" s="42" t="str">
        <f t="shared" si="53"/>
        <v>0x1122</v>
      </c>
      <c r="F432" s="99"/>
      <c r="G432" s="421"/>
      <c r="H432" s="269"/>
      <c r="I432" s="256"/>
      <c r="J432" s="222"/>
      <c r="K432" s="247"/>
    </row>
    <row r="433" spans="1:11" ht="15" customHeight="1" x14ac:dyDescent="0.45">
      <c r="A433" s="646"/>
      <c r="B433" s="148">
        <f t="shared" si="54"/>
        <v>3</v>
      </c>
      <c r="C433" s="28" t="s">
        <v>7</v>
      </c>
      <c r="D433" s="21"/>
      <c r="E433" s="42" t="str">
        <f t="shared" si="53"/>
        <v>0x1123</v>
      </c>
      <c r="F433" s="99"/>
      <c r="G433" s="421"/>
      <c r="H433" s="269"/>
      <c r="I433" s="256"/>
      <c r="J433" s="222"/>
      <c r="K433" s="247"/>
    </row>
    <row r="434" spans="1:11" ht="15" customHeight="1" x14ac:dyDescent="0.45">
      <c r="A434" s="646"/>
      <c r="B434" s="148">
        <f t="shared" si="54"/>
        <v>4</v>
      </c>
      <c r="C434" s="28" t="s">
        <v>8</v>
      </c>
      <c r="D434" s="21"/>
      <c r="E434" s="42" t="str">
        <f t="shared" si="53"/>
        <v>0x1124</v>
      </c>
      <c r="F434" s="99"/>
      <c r="G434" s="421"/>
      <c r="H434" s="269"/>
      <c r="I434" s="256"/>
      <c r="J434" s="222"/>
      <c r="K434" s="247"/>
    </row>
    <row r="435" spans="1:11" ht="15" customHeight="1" x14ac:dyDescent="0.45">
      <c r="A435" s="646"/>
      <c r="B435" s="148">
        <f t="shared" si="54"/>
        <v>5</v>
      </c>
      <c r="C435" s="28" t="s">
        <v>9</v>
      </c>
      <c r="D435" s="21"/>
      <c r="E435" s="42" t="str">
        <f t="shared" si="53"/>
        <v>0x1125</v>
      </c>
      <c r="F435" s="99"/>
      <c r="G435" s="421"/>
      <c r="H435" s="269"/>
      <c r="I435" s="256"/>
      <c r="J435" s="222"/>
      <c r="K435" s="247"/>
    </row>
    <row r="436" spans="1:11" ht="15" customHeight="1" x14ac:dyDescent="0.45">
      <c r="A436" s="646"/>
      <c r="B436" s="148">
        <f t="shared" si="54"/>
        <v>6</v>
      </c>
      <c r="C436" s="28" t="s">
        <v>10</v>
      </c>
      <c r="D436" s="21"/>
      <c r="E436" s="42" t="str">
        <f t="shared" si="53"/>
        <v>0x1126</v>
      </c>
      <c r="F436" s="99"/>
      <c r="G436" s="421"/>
      <c r="H436" s="269"/>
      <c r="I436" s="256"/>
      <c r="J436" s="222"/>
      <c r="K436" s="247"/>
    </row>
    <row r="437" spans="1:11" ht="15" customHeight="1" x14ac:dyDescent="0.45">
      <c r="A437" s="646"/>
      <c r="B437" s="148">
        <f t="shared" si="54"/>
        <v>7</v>
      </c>
      <c r="C437" s="28" t="s">
        <v>12</v>
      </c>
      <c r="D437" s="21"/>
      <c r="E437" s="42" t="str">
        <f t="shared" si="53"/>
        <v>0x1127</v>
      </c>
      <c r="F437" s="99"/>
      <c r="G437" s="421"/>
      <c r="H437" s="269"/>
      <c r="I437" s="256"/>
      <c r="J437" s="222"/>
      <c r="K437" s="247"/>
    </row>
    <row r="438" spans="1:11" ht="15" customHeight="1" x14ac:dyDescent="0.45">
      <c r="A438" s="646"/>
      <c r="B438" s="148">
        <f t="shared" si="54"/>
        <v>8</v>
      </c>
      <c r="C438" s="28" t="s">
        <v>13</v>
      </c>
      <c r="D438" s="641" t="s">
        <v>341</v>
      </c>
      <c r="E438" s="42" t="str">
        <f t="shared" si="53"/>
        <v>0x1128</v>
      </c>
      <c r="F438" s="643" t="s">
        <v>342</v>
      </c>
      <c r="G438" s="621" t="s">
        <v>923</v>
      </c>
      <c r="H438" s="618" t="s">
        <v>923</v>
      </c>
      <c r="I438" s="486"/>
      <c r="J438" s="618" t="s">
        <v>921</v>
      </c>
      <c r="K438" s="615">
        <v>0</v>
      </c>
    </row>
    <row r="439" spans="1:11" x14ac:dyDescent="0.45">
      <c r="A439" s="646"/>
      <c r="B439" s="148">
        <f t="shared" si="54"/>
        <v>9</v>
      </c>
      <c r="C439" s="28" t="s">
        <v>14</v>
      </c>
      <c r="D439" s="641"/>
      <c r="E439" s="42" t="str">
        <f t="shared" si="53"/>
        <v>0x1129</v>
      </c>
      <c r="F439" s="643"/>
      <c r="G439" s="621"/>
      <c r="H439" s="618"/>
      <c r="I439" s="486"/>
      <c r="J439" s="618"/>
      <c r="K439" s="628"/>
    </row>
    <row r="440" spans="1:11" x14ac:dyDescent="0.45">
      <c r="A440" s="646"/>
      <c r="B440" s="148">
        <f t="shared" si="54"/>
        <v>10</v>
      </c>
      <c r="C440" s="28" t="s">
        <v>15</v>
      </c>
      <c r="D440" s="641"/>
      <c r="E440" s="42" t="str">
        <f t="shared" si="53"/>
        <v>0x112A</v>
      </c>
      <c r="F440" s="643"/>
      <c r="G440" s="621"/>
      <c r="H440" s="618"/>
      <c r="I440" s="486"/>
      <c r="J440" s="618"/>
      <c r="K440" s="628"/>
    </row>
    <row r="441" spans="1:11" x14ac:dyDescent="0.45">
      <c r="A441" s="646"/>
      <c r="B441" s="148">
        <f t="shared" si="54"/>
        <v>11</v>
      </c>
      <c r="C441" s="28" t="s">
        <v>16</v>
      </c>
      <c r="D441" s="641"/>
      <c r="E441" s="42" t="str">
        <f t="shared" si="53"/>
        <v>0x112B</v>
      </c>
      <c r="F441" s="643"/>
      <c r="G441" s="621"/>
      <c r="H441" s="618"/>
      <c r="I441" s="486"/>
      <c r="J441" s="618"/>
      <c r="K441" s="628"/>
    </row>
    <row r="442" spans="1:11" x14ac:dyDescent="0.45">
      <c r="A442" s="646"/>
      <c r="B442" s="148">
        <f t="shared" si="54"/>
        <v>12</v>
      </c>
      <c r="C442" s="28" t="s">
        <v>17</v>
      </c>
      <c r="D442" s="641"/>
      <c r="E442" s="42" t="str">
        <f t="shared" si="53"/>
        <v>0x112C</v>
      </c>
      <c r="F442" s="643"/>
      <c r="G442" s="621"/>
      <c r="H442" s="618"/>
      <c r="I442" s="486"/>
      <c r="J442" s="618"/>
      <c r="K442" s="628"/>
    </row>
    <row r="443" spans="1:11" x14ac:dyDescent="0.45">
      <c r="A443" s="646"/>
      <c r="B443" s="148">
        <f t="shared" si="54"/>
        <v>13</v>
      </c>
      <c r="C443" s="28" t="s">
        <v>18</v>
      </c>
      <c r="D443" s="641"/>
      <c r="E443" s="42" t="str">
        <f t="shared" si="53"/>
        <v>0x112D</v>
      </c>
      <c r="F443" s="643"/>
      <c r="G443" s="621"/>
      <c r="H443" s="618"/>
      <c r="I443" s="486"/>
      <c r="J443" s="618"/>
      <c r="K443" s="628"/>
    </row>
    <row r="444" spans="1:11" x14ac:dyDescent="0.45">
      <c r="A444" s="646"/>
      <c r="B444" s="148">
        <f t="shared" si="54"/>
        <v>14</v>
      </c>
      <c r="C444" s="28" t="s">
        <v>19</v>
      </c>
      <c r="D444" s="641"/>
      <c r="E444" s="42" t="str">
        <f t="shared" si="53"/>
        <v>0x112E</v>
      </c>
      <c r="F444" s="643"/>
      <c r="G444" s="621"/>
      <c r="H444" s="618"/>
      <c r="I444" s="486"/>
      <c r="J444" s="618"/>
      <c r="K444" s="628"/>
    </row>
    <row r="445" spans="1:11" x14ac:dyDescent="0.45">
      <c r="A445" s="647"/>
      <c r="B445" s="45">
        <f t="shared" si="54"/>
        <v>15</v>
      </c>
      <c r="C445" s="46" t="s">
        <v>20</v>
      </c>
      <c r="D445" s="642"/>
      <c r="E445" s="48" t="str">
        <f t="shared" si="53"/>
        <v>0x112F</v>
      </c>
      <c r="F445" s="644"/>
      <c r="G445" s="622"/>
      <c r="H445" s="619"/>
      <c r="I445" s="487"/>
      <c r="J445" s="619"/>
      <c r="K445" s="629"/>
    </row>
    <row r="446" spans="1:11" x14ac:dyDescent="0.45">
      <c r="G446" s="421"/>
      <c r="H446" s="273"/>
      <c r="I446" s="25"/>
      <c r="J446" s="21"/>
      <c r="K446" s="263"/>
    </row>
    <row r="447" spans="1:11" x14ac:dyDescent="0.45">
      <c r="G447" s="421"/>
      <c r="H447" s="273"/>
      <c r="I447" s="25"/>
      <c r="J447" s="21"/>
      <c r="K447" s="263"/>
    </row>
    <row r="448" spans="1:11" ht="15" customHeight="1" x14ac:dyDescent="0.45">
      <c r="A448" s="651" t="s">
        <v>511</v>
      </c>
      <c r="B448" s="54" t="s">
        <v>688</v>
      </c>
      <c r="C448" s="40" t="str">
        <f>CONCATENATE("0x", DEC2HEX(HEX2DEC('inicio zonas'!$B$20)))</f>
        <v>0x120</v>
      </c>
      <c r="D448" s="184"/>
      <c r="E448" s="358"/>
      <c r="F448" s="356"/>
      <c r="G448" s="555"/>
      <c r="H448" s="357"/>
      <c r="I448" s="357"/>
      <c r="J448" s="357"/>
      <c r="K448" s="359"/>
    </row>
    <row r="449" spans="1:11" ht="15" customHeight="1" x14ac:dyDescent="0.45">
      <c r="A449" s="652"/>
      <c r="B449" s="355">
        <v>0</v>
      </c>
      <c r="C449" s="28" t="s">
        <v>2</v>
      </c>
      <c r="D449" s="21"/>
      <c r="E449" s="25" t="str">
        <f>CONCATENATE($C$448,DEC2HEX(B449))</f>
        <v>0x1200</v>
      </c>
      <c r="F449" s="273"/>
      <c r="G449" s="556"/>
      <c r="H449" s="251"/>
      <c r="I449" s="251"/>
      <c r="J449" s="251"/>
      <c r="K449" s="360"/>
    </row>
    <row r="450" spans="1:11" ht="15" customHeight="1" x14ac:dyDescent="0.45">
      <c r="A450" s="652"/>
      <c r="B450" s="355">
        <f>B449+1</f>
        <v>1</v>
      </c>
      <c r="C450" s="28" t="s">
        <v>4</v>
      </c>
      <c r="D450" s="21"/>
      <c r="E450" s="25" t="str">
        <f t="shared" ref="E450:E464" si="55">CONCATENATE($C$448,DEC2HEX(B450))</f>
        <v>0x1201</v>
      </c>
      <c r="F450" s="273"/>
      <c r="G450" s="556"/>
      <c r="H450" s="251"/>
      <c r="I450" s="251"/>
      <c r="J450" s="251"/>
      <c r="K450" s="360"/>
    </row>
    <row r="451" spans="1:11" ht="15" customHeight="1" x14ac:dyDescent="0.45">
      <c r="A451" s="652"/>
      <c r="B451" s="355">
        <f t="shared" ref="B451:B464" si="56">B450+1</f>
        <v>2</v>
      </c>
      <c r="C451" s="28" t="s">
        <v>6</v>
      </c>
      <c r="D451" s="21"/>
      <c r="E451" s="25" t="str">
        <f t="shared" si="55"/>
        <v>0x1202</v>
      </c>
      <c r="F451" s="273"/>
      <c r="G451" s="556"/>
      <c r="H451" s="251"/>
      <c r="I451" s="251"/>
      <c r="J451" s="251"/>
      <c r="K451" s="360"/>
    </row>
    <row r="452" spans="1:11" ht="15" customHeight="1" x14ac:dyDescent="0.45">
      <c r="A452" s="652"/>
      <c r="B452" s="355">
        <f t="shared" si="56"/>
        <v>3</v>
      </c>
      <c r="C452" s="28" t="s">
        <v>7</v>
      </c>
      <c r="D452" s="21"/>
      <c r="E452" s="25" t="str">
        <f t="shared" si="55"/>
        <v>0x1203</v>
      </c>
      <c r="F452" s="273"/>
      <c r="G452" s="556"/>
      <c r="H452" s="251"/>
      <c r="I452" s="251"/>
      <c r="J452" s="251"/>
      <c r="K452" s="360"/>
    </row>
    <row r="453" spans="1:11" ht="15" customHeight="1" x14ac:dyDescent="0.45">
      <c r="A453" s="652"/>
      <c r="B453" s="355">
        <f t="shared" si="56"/>
        <v>4</v>
      </c>
      <c r="C453" s="28" t="s">
        <v>8</v>
      </c>
      <c r="D453" s="21"/>
      <c r="E453" s="25" t="str">
        <f t="shared" si="55"/>
        <v>0x1204</v>
      </c>
      <c r="F453" s="273"/>
      <c r="G453" s="556"/>
      <c r="H453" s="251"/>
      <c r="I453" s="251"/>
      <c r="J453" s="251"/>
      <c r="K453" s="360"/>
    </row>
    <row r="454" spans="1:11" ht="15" customHeight="1" x14ac:dyDescent="0.45">
      <c r="A454" s="652"/>
      <c r="B454" s="355">
        <f t="shared" si="56"/>
        <v>5</v>
      </c>
      <c r="C454" s="28" t="s">
        <v>9</v>
      </c>
      <c r="D454" s="21"/>
      <c r="E454" s="25" t="str">
        <f t="shared" si="55"/>
        <v>0x1205</v>
      </c>
      <c r="F454" s="273"/>
      <c r="G454" s="556"/>
      <c r="H454" s="251"/>
      <c r="I454" s="251"/>
      <c r="J454" s="251"/>
      <c r="K454" s="360"/>
    </row>
    <row r="455" spans="1:11" ht="15" customHeight="1" x14ac:dyDescent="0.45">
      <c r="A455" s="652"/>
      <c r="B455" s="355">
        <f t="shared" si="56"/>
        <v>6</v>
      </c>
      <c r="C455" s="28" t="s">
        <v>10</v>
      </c>
      <c r="D455" s="81"/>
      <c r="E455" s="25" t="str">
        <f t="shared" si="55"/>
        <v>0x1206</v>
      </c>
      <c r="F455" s="273"/>
      <c r="G455" s="556"/>
      <c r="H455" s="251"/>
      <c r="I455" s="251"/>
      <c r="J455" s="251"/>
      <c r="K455" s="360"/>
    </row>
    <row r="456" spans="1:11" ht="15" customHeight="1" x14ac:dyDescent="0.45">
      <c r="A456" s="652"/>
      <c r="B456" s="355">
        <f t="shared" si="56"/>
        <v>7</v>
      </c>
      <c r="C456" s="28" t="s">
        <v>12</v>
      </c>
      <c r="D456" s="81"/>
      <c r="E456" s="25" t="str">
        <f t="shared" si="55"/>
        <v>0x1207</v>
      </c>
      <c r="F456" s="273"/>
      <c r="G456" s="556"/>
      <c r="H456" s="251"/>
      <c r="I456" s="251"/>
      <c r="J456" s="251"/>
      <c r="K456" s="360"/>
    </row>
    <row r="457" spans="1:11" ht="15" customHeight="1" x14ac:dyDescent="0.45">
      <c r="A457" s="652"/>
      <c r="B457" s="355">
        <f t="shared" si="56"/>
        <v>8</v>
      </c>
      <c r="C457" s="28" t="s">
        <v>13</v>
      </c>
      <c r="D457" s="450" t="s">
        <v>771</v>
      </c>
      <c r="E457" s="25" t="str">
        <f t="shared" si="55"/>
        <v>0x1208</v>
      </c>
      <c r="F457" s="273" t="s">
        <v>772</v>
      </c>
      <c r="G457" s="421" t="s">
        <v>923</v>
      </c>
      <c r="H457" s="269" t="s">
        <v>923</v>
      </c>
      <c r="I457" s="256"/>
      <c r="J457" s="222" t="s">
        <v>921</v>
      </c>
      <c r="K457" s="247">
        <v>0</v>
      </c>
    </row>
    <row r="458" spans="1:11" ht="15" customHeight="1" x14ac:dyDescent="0.45">
      <c r="A458" s="652"/>
      <c r="B458" s="355">
        <f t="shared" si="56"/>
        <v>9</v>
      </c>
      <c r="C458" s="28" t="s">
        <v>14</v>
      </c>
      <c r="D458" s="450"/>
      <c r="E458" s="25" t="str">
        <f t="shared" si="55"/>
        <v>0x1209</v>
      </c>
      <c r="F458" s="273"/>
      <c r="G458" s="556"/>
      <c r="H458" s="251"/>
      <c r="I458" s="251"/>
      <c r="J458" s="251"/>
      <c r="K458" s="360"/>
    </row>
    <row r="459" spans="1:11" ht="15" customHeight="1" x14ac:dyDescent="0.45">
      <c r="A459" s="652"/>
      <c r="B459" s="355">
        <f t="shared" si="56"/>
        <v>10</v>
      </c>
      <c r="C459" s="28" t="s">
        <v>15</v>
      </c>
      <c r="D459" s="450"/>
      <c r="E459" s="25" t="str">
        <f t="shared" si="55"/>
        <v>0x120A</v>
      </c>
      <c r="F459" s="273"/>
      <c r="G459" s="556"/>
      <c r="H459" s="251"/>
      <c r="I459" s="251"/>
      <c r="J459" s="251"/>
      <c r="K459" s="360"/>
    </row>
    <row r="460" spans="1:11" ht="15" customHeight="1" x14ac:dyDescent="0.45">
      <c r="A460" s="652"/>
      <c r="B460" s="355">
        <f t="shared" si="56"/>
        <v>11</v>
      </c>
      <c r="C460" s="28" t="s">
        <v>16</v>
      </c>
      <c r="D460" s="450"/>
      <c r="E460" s="25" t="str">
        <f t="shared" si="55"/>
        <v>0x120B</v>
      </c>
      <c r="F460" s="273"/>
      <c r="G460" s="556"/>
      <c r="H460" s="251"/>
      <c r="I460" s="251"/>
      <c r="J460" s="251"/>
      <c r="K460" s="360"/>
    </row>
    <row r="461" spans="1:11" ht="15" customHeight="1" x14ac:dyDescent="0.45">
      <c r="A461" s="652"/>
      <c r="B461" s="355">
        <f t="shared" si="56"/>
        <v>12</v>
      </c>
      <c r="C461" s="28" t="s">
        <v>17</v>
      </c>
      <c r="D461" s="450"/>
      <c r="E461" s="25" t="str">
        <f t="shared" si="55"/>
        <v>0x120C</v>
      </c>
      <c r="F461" s="273"/>
      <c r="G461" s="421"/>
      <c r="H461" s="269"/>
      <c r="I461" s="256"/>
      <c r="J461" s="222"/>
      <c r="K461" s="247"/>
    </row>
    <row r="462" spans="1:11" ht="15" customHeight="1" x14ac:dyDescent="0.45">
      <c r="A462" s="652"/>
      <c r="B462" s="355">
        <f t="shared" si="56"/>
        <v>13</v>
      </c>
      <c r="C462" s="28" t="s">
        <v>18</v>
      </c>
      <c r="D462" s="450" t="s">
        <v>769</v>
      </c>
      <c r="E462" s="25" t="str">
        <f t="shared" si="55"/>
        <v>0x120D</v>
      </c>
      <c r="F462" s="273" t="s">
        <v>770</v>
      </c>
      <c r="G462" s="421" t="s">
        <v>923</v>
      </c>
      <c r="H462" s="269" t="s">
        <v>923</v>
      </c>
      <c r="I462" s="256"/>
      <c r="J462" s="222" t="s">
        <v>921</v>
      </c>
      <c r="K462" s="247">
        <v>0</v>
      </c>
    </row>
    <row r="463" spans="1:11" ht="15" customHeight="1" x14ac:dyDescent="0.45">
      <c r="A463" s="652"/>
      <c r="B463" s="355">
        <f t="shared" si="56"/>
        <v>14</v>
      </c>
      <c r="C463" s="28" t="s">
        <v>19</v>
      </c>
      <c r="D463" s="450" t="s">
        <v>685</v>
      </c>
      <c r="E463" s="25" t="str">
        <f t="shared" si="55"/>
        <v>0x120E</v>
      </c>
      <c r="F463" s="273" t="s">
        <v>687</v>
      </c>
      <c r="G463" s="421" t="s">
        <v>923</v>
      </c>
      <c r="H463" s="269" t="s">
        <v>923</v>
      </c>
      <c r="I463" s="256"/>
      <c r="J463" s="222" t="s">
        <v>921</v>
      </c>
      <c r="K463" s="247">
        <v>0</v>
      </c>
    </row>
    <row r="464" spans="1:11" ht="15" customHeight="1" x14ac:dyDescent="0.45">
      <c r="A464" s="652"/>
      <c r="B464" s="45">
        <f t="shared" si="56"/>
        <v>15</v>
      </c>
      <c r="C464" s="46" t="s">
        <v>20</v>
      </c>
      <c r="D464" s="451" t="s">
        <v>684</v>
      </c>
      <c r="E464" s="193" t="str">
        <f t="shared" si="55"/>
        <v>0x120F</v>
      </c>
      <c r="F464" s="100" t="s">
        <v>686</v>
      </c>
      <c r="G464" s="421" t="s">
        <v>923</v>
      </c>
      <c r="H464" s="269" t="s">
        <v>923</v>
      </c>
      <c r="I464" s="256"/>
      <c r="J464" s="222" t="s">
        <v>921</v>
      </c>
      <c r="K464" s="247">
        <v>0</v>
      </c>
    </row>
    <row r="465" spans="1:11" ht="15" customHeight="1" x14ac:dyDescent="0.45">
      <c r="A465" s="653"/>
      <c r="B465" s="53" t="s">
        <v>546</v>
      </c>
      <c r="C465" s="191" t="str">
        <f>CONCATENATE("0x", 1+DEC2HEX(HEX2DEC('inicio zonas'!$B$20)))</f>
        <v>0x121</v>
      </c>
      <c r="D465" s="68"/>
      <c r="E465" s="353"/>
      <c r="F465" s="55" t="s">
        <v>691</v>
      </c>
      <c r="G465" s="552"/>
      <c r="H465" s="87"/>
      <c r="I465" s="491"/>
      <c r="J465" s="87"/>
      <c r="K465" s="243"/>
    </row>
    <row r="466" spans="1:11" ht="15" customHeight="1" x14ac:dyDescent="0.45">
      <c r="A466" s="653"/>
      <c r="B466" s="230"/>
      <c r="C466" s="65"/>
      <c r="D466" s="73"/>
      <c r="E466" s="354"/>
      <c r="F466" s="363"/>
      <c r="G466" s="553"/>
      <c r="H466" s="361"/>
      <c r="I466" s="571"/>
      <c r="J466" s="361"/>
      <c r="K466" s="264"/>
    </row>
    <row r="467" spans="1:11" ht="15" customHeight="1" x14ac:dyDescent="0.45">
      <c r="A467" s="653"/>
      <c r="B467" s="54" t="s">
        <v>683</v>
      </c>
      <c r="C467" s="362" t="str">
        <f>CONCATENATE("0x", DEC2HEX(4+HEX2DEC('inicio zonas'!$B$20)))</f>
        <v>0x124</v>
      </c>
      <c r="D467" s="184"/>
      <c r="E467" s="358"/>
      <c r="F467" s="356"/>
      <c r="G467" s="555"/>
      <c r="H467" s="357"/>
      <c r="I467" s="357"/>
      <c r="J467" s="357"/>
      <c r="K467" s="359"/>
    </row>
    <row r="468" spans="1:11" ht="15" customHeight="1" x14ac:dyDescent="0.45">
      <c r="A468" s="653"/>
      <c r="B468" s="355">
        <v>0</v>
      </c>
      <c r="C468" s="28" t="s">
        <v>2</v>
      </c>
      <c r="D468" s="21"/>
      <c r="E468" s="25" t="str">
        <f>CONCATENATE($C$467,DEC2HEX(B468))</f>
        <v>0x1240</v>
      </c>
      <c r="F468" s="273"/>
      <c r="G468" s="556"/>
      <c r="H468" s="251"/>
      <c r="I468" s="251"/>
      <c r="J468" s="251"/>
      <c r="K468" s="360"/>
    </row>
    <row r="469" spans="1:11" ht="15" customHeight="1" x14ac:dyDescent="0.45">
      <c r="A469" s="653"/>
      <c r="B469" s="355">
        <f>B468+1</f>
        <v>1</v>
      </c>
      <c r="C469" s="28" t="s">
        <v>4</v>
      </c>
      <c r="D469" s="21"/>
      <c r="E469" s="25" t="str">
        <f>CONCATENATE($C$467,DEC2HEX(B469))</f>
        <v>0x1241</v>
      </c>
      <c r="F469" s="273"/>
      <c r="G469" s="556"/>
      <c r="H469" s="251"/>
      <c r="I469" s="251"/>
      <c r="J469" s="251"/>
      <c r="K469" s="360"/>
    </row>
    <row r="470" spans="1:11" ht="15" customHeight="1" x14ac:dyDescent="0.45">
      <c r="A470" s="653"/>
      <c r="B470" s="355">
        <f t="shared" ref="B470:B483" si="57">B469+1</f>
        <v>2</v>
      </c>
      <c r="C470" s="28" t="s">
        <v>6</v>
      </c>
      <c r="D470" s="21"/>
      <c r="E470" s="25" t="str">
        <f>CONCATENATE($C$467,DEC2HEX(B470))</f>
        <v>0x1242</v>
      </c>
      <c r="F470" s="273"/>
      <c r="G470" s="556"/>
      <c r="H470" s="251"/>
      <c r="I470" s="251"/>
      <c r="J470" s="251"/>
      <c r="K470" s="360"/>
    </row>
    <row r="471" spans="1:11" ht="15" customHeight="1" x14ac:dyDescent="0.45">
      <c r="A471" s="653"/>
      <c r="B471" s="355">
        <f t="shared" si="57"/>
        <v>3</v>
      </c>
      <c r="C471" s="28" t="s">
        <v>7</v>
      </c>
      <c r="D471" s="21"/>
      <c r="E471" s="25" t="str">
        <f t="shared" ref="E471:E483" si="58">CONCATENATE($C$467,DEC2HEX(B471))</f>
        <v>0x1243</v>
      </c>
      <c r="F471" s="273"/>
      <c r="G471" s="556"/>
      <c r="H471" s="251"/>
      <c r="I471" s="251"/>
      <c r="J471" s="251"/>
      <c r="K471" s="360"/>
    </row>
    <row r="472" spans="1:11" ht="15" customHeight="1" x14ac:dyDescent="0.45">
      <c r="A472" s="653"/>
      <c r="B472" s="355">
        <f t="shared" si="57"/>
        <v>4</v>
      </c>
      <c r="C472" s="28" t="s">
        <v>8</v>
      </c>
      <c r="D472" s="21"/>
      <c r="E472" s="25" t="str">
        <f t="shared" si="58"/>
        <v>0x1244</v>
      </c>
      <c r="F472" s="273"/>
      <c r="G472" s="556"/>
      <c r="H472" s="251"/>
      <c r="I472" s="251"/>
      <c r="J472" s="251"/>
      <c r="K472" s="360"/>
    </row>
    <row r="473" spans="1:11" ht="15" customHeight="1" x14ac:dyDescent="0.45">
      <c r="A473" s="653"/>
      <c r="B473" s="355">
        <f t="shared" si="57"/>
        <v>5</v>
      </c>
      <c r="C473" s="28" t="s">
        <v>9</v>
      </c>
      <c r="D473" s="21"/>
      <c r="E473" s="25" t="str">
        <f t="shared" si="58"/>
        <v>0x1245</v>
      </c>
      <c r="F473" s="273"/>
      <c r="G473" s="556"/>
      <c r="H473" s="251"/>
      <c r="I473" s="251"/>
      <c r="J473" s="251"/>
      <c r="K473" s="360"/>
    </row>
    <row r="474" spans="1:11" ht="15" customHeight="1" x14ac:dyDescent="0.45">
      <c r="A474" s="653"/>
      <c r="B474" s="355">
        <f t="shared" si="57"/>
        <v>6</v>
      </c>
      <c r="C474" s="28" t="s">
        <v>10</v>
      </c>
      <c r="D474" s="21"/>
      <c r="E474" s="25" t="str">
        <f t="shared" si="58"/>
        <v>0x1246</v>
      </c>
      <c r="F474" s="273"/>
      <c r="G474" s="556"/>
      <c r="H474" s="251"/>
      <c r="I474" s="251"/>
      <c r="J474" s="251"/>
      <c r="K474" s="360"/>
    </row>
    <row r="475" spans="1:11" ht="15" customHeight="1" x14ac:dyDescent="0.45">
      <c r="A475" s="653"/>
      <c r="B475" s="355">
        <f t="shared" si="57"/>
        <v>7</v>
      </c>
      <c r="C475" s="28" t="s">
        <v>12</v>
      </c>
      <c r="D475" s="21"/>
      <c r="E475" s="25" t="str">
        <f t="shared" si="58"/>
        <v>0x1247</v>
      </c>
      <c r="F475" s="273"/>
      <c r="G475" s="556"/>
      <c r="H475" s="251"/>
      <c r="I475" s="251"/>
      <c r="J475" s="251"/>
      <c r="K475" s="360"/>
    </row>
    <row r="476" spans="1:11" ht="15" customHeight="1" x14ac:dyDescent="0.45">
      <c r="A476" s="653"/>
      <c r="B476" s="355">
        <f t="shared" si="57"/>
        <v>8</v>
      </c>
      <c r="C476" s="28" t="s">
        <v>13</v>
      </c>
      <c r="D476" s="351" t="s">
        <v>771</v>
      </c>
      <c r="E476" s="25" t="str">
        <f t="shared" si="58"/>
        <v>0x1248</v>
      </c>
      <c r="F476" s="273" t="s">
        <v>772</v>
      </c>
      <c r="G476" s="421" t="s">
        <v>923</v>
      </c>
      <c r="H476" s="269" t="s">
        <v>923</v>
      </c>
      <c r="I476" s="256"/>
      <c r="J476" s="222" t="s">
        <v>921</v>
      </c>
      <c r="K476" s="247">
        <v>0</v>
      </c>
    </row>
    <row r="477" spans="1:11" ht="15" customHeight="1" x14ac:dyDescent="0.45">
      <c r="A477" s="653"/>
      <c r="B477" s="355">
        <f t="shared" si="57"/>
        <v>9</v>
      </c>
      <c r="C477" s="28" t="s">
        <v>14</v>
      </c>
      <c r="D477" s="351"/>
      <c r="E477" s="25" t="str">
        <f t="shared" si="58"/>
        <v>0x1249</v>
      </c>
      <c r="F477" s="273"/>
      <c r="G477" s="556"/>
      <c r="H477" s="251"/>
      <c r="I477" s="251"/>
      <c r="J477" s="251"/>
      <c r="K477" s="360"/>
    </row>
    <row r="478" spans="1:11" ht="15" customHeight="1" x14ac:dyDescent="0.45">
      <c r="A478" s="653"/>
      <c r="B478" s="355">
        <f t="shared" si="57"/>
        <v>10</v>
      </c>
      <c r="C478" s="28" t="s">
        <v>15</v>
      </c>
      <c r="D478" s="351"/>
      <c r="E478" s="25" t="str">
        <f t="shared" si="58"/>
        <v>0x124A</v>
      </c>
      <c r="F478" s="273"/>
      <c r="G478" s="556"/>
      <c r="H478" s="251"/>
      <c r="I478" s="251"/>
      <c r="J478" s="251"/>
      <c r="K478" s="360"/>
    </row>
    <row r="479" spans="1:11" ht="15" customHeight="1" x14ac:dyDescent="0.45">
      <c r="A479" s="653"/>
      <c r="B479" s="355">
        <f t="shared" si="57"/>
        <v>11</v>
      </c>
      <c r="C479" s="28" t="s">
        <v>16</v>
      </c>
      <c r="D479" s="351"/>
      <c r="E479" s="25" t="str">
        <f t="shared" si="58"/>
        <v>0x124B</v>
      </c>
      <c r="F479" s="273"/>
      <c r="G479" s="556"/>
      <c r="H479" s="251"/>
      <c r="I479" s="251"/>
      <c r="J479" s="251"/>
      <c r="K479" s="360"/>
    </row>
    <row r="480" spans="1:11" ht="15" customHeight="1" x14ac:dyDescent="0.45">
      <c r="A480" s="653"/>
      <c r="B480" s="355">
        <f t="shared" si="57"/>
        <v>12</v>
      </c>
      <c r="C480" s="28" t="s">
        <v>17</v>
      </c>
      <c r="D480" s="450"/>
      <c r="E480" s="25" t="str">
        <f t="shared" si="58"/>
        <v>0x124C</v>
      </c>
      <c r="F480" s="273"/>
      <c r="G480" s="421"/>
      <c r="H480" s="269"/>
      <c r="I480" s="256"/>
      <c r="J480" s="222"/>
      <c r="K480" s="247"/>
    </row>
    <row r="481" spans="1:11" ht="15" customHeight="1" x14ac:dyDescent="0.45">
      <c r="A481" s="653"/>
      <c r="B481" s="355">
        <f t="shared" si="57"/>
        <v>13</v>
      </c>
      <c r="C481" s="28" t="s">
        <v>18</v>
      </c>
      <c r="D481" s="450" t="s">
        <v>769</v>
      </c>
      <c r="E481" s="25" t="str">
        <f t="shared" si="58"/>
        <v>0x124D</v>
      </c>
      <c r="F481" s="273" t="s">
        <v>770</v>
      </c>
      <c r="G481" s="421" t="s">
        <v>923</v>
      </c>
      <c r="H481" s="269" t="s">
        <v>923</v>
      </c>
      <c r="I481" s="256"/>
      <c r="J481" s="222" t="s">
        <v>921</v>
      </c>
      <c r="K481" s="247">
        <v>0</v>
      </c>
    </row>
    <row r="482" spans="1:11" ht="15" customHeight="1" x14ac:dyDescent="0.45">
      <c r="A482" s="653"/>
      <c r="B482" s="355">
        <f t="shared" si="57"/>
        <v>14</v>
      </c>
      <c r="C482" s="28" t="s">
        <v>19</v>
      </c>
      <c r="D482" s="450" t="s">
        <v>685</v>
      </c>
      <c r="E482" s="25" t="str">
        <f t="shared" si="58"/>
        <v>0x124E</v>
      </c>
      <c r="F482" s="273" t="s">
        <v>687</v>
      </c>
      <c r="G482" s="421" t="s">
        <v>923</v>
      </c>
      <c r="H482" s="269" t="s">
        <v>923</v>
      </c>
      <c r="I482" s="256"/>
      <c r="J482" s="222" t="s">
        <v>921</v>
      </c>
      <c r="K482" s="247">
        <v>0</v>
      </c>
    </row>
    <row r="483" spans="1:11" ht="15" customHeight="1" x14ac:dyDescent="0.45">
      <c r="A483" s="653"/>
      <c r="B483" s="45">
        <f t="shared" si="57"/>
        <v>15</v>
      </c>
      <c r="C483" s="46" t="s">
        <v>20</v>
      </c>
      <c r="D483" s="451" t="s">
        <v>684</v>
      </c>
      <c r="E483" s="25" t="str">
        <f t="shared" si="58"/>
        <v>0x124F</v>
      </c>
      <c r="F483" s="100" t="s">
        <v>686</v>
      </c>
      <c r="G483" s="421" t="s">
        <v>923</v>
      </c>
      <c r="H483" s="269" t="s">
        <v>923</v>
      </c>
      <c r="I483" s="256"/>
      <c r="J483" s="222" t="s">
        <v>921</v>
      </c>
      <c r="K483" s="247">
        <v>0</v>
      </c>
    </row>
    <row r="484" spans="1:11" ht="15" customHeight="1" x14ac:dyDescent="0.45">
      <c r="A484" s="653"/>
      <c r="B484" s="56" t="s">
        <v>547</v>
      </c>
      <c r="C484" s="50" t="str">
        <f>CONCATENATE("0x",5+DEC2HEX(HEX2DEC('inicio zonas'!$B$20)))</f>
        <v>0x125</v>
      </c>
      <c r="D484" s="71"/>
      <c r="E484" s="72"/>
      <c r="F484" s="55" t="s">
        <v>691</v>
      </c>
      <c r="G484" s="552"/>
      <c r="H484" s="87"/>
      <c r="I484" s="491"/>
      <c r="J484" s="87"/>
      <c r="K484" s="243"/>
    </row>
    <row r="485" spans="1:11" ht="15" customHeight="1" x14ac:dyDescent="0.45">
      <c r="A485" s="653"/>
      <c r="B485" s="230"/>
      <c r="C485" s="65"/>
      <c r="D485" s="73"/>
      <c r="E485" s="354"/>
      <c r="F485" s="363"/>
      <c r="G485" s="553"/>
      <c r="H485" s="361"/>
      <c r="I485" s="571"/>
      <c r="J485" s="361"/>
      <c r="K485" s="264"/>
    </row>
    <row r="486" spans="1:11" ht="15" customHeight="1" x14ac:dyDescent="0.45">
      <c r="A486" s="653"/>
      <c r="B486" s="54" t="s">
        <v>689</v>
      </c>
      <c r="C486" s="40" t="str">
        <f>CONCATENATE("0x",DEC2HEX(8+HEX2DEC('inicio zonas'!$B$20)))</f>
        <v>0x128</v>
      </c>
      <c r="D486" s="184"/>
      <c r="E486" s="358"/>
      <c r="F486" s="356"/>
      <c r="G486" s="555"/>
      <c r="H486" s="357"/>
      <c r="I486" s="357"/>
      <c r="J486" s="357"/>
      <c r="K486" s="359"/>
    </row>
    <row r="487" spans="1:11" ht="15" customHeight="1" x14ac:dyDescent="0.45">
      <c r="A487" s="653"/>
      <c r="B487" s="355">
        <v>0</v>
      </c>
      <c r="C487" s="28" t="s">
        <v>2</v>
      </c>
      <c r="D487" s="21"/>
      <c r="E487" s="25" t="str">
        <f>CONCATENATE($C$486,DEC2HEX(B487))</f>
        <v>0x1280</v>
      </c>
      <c r="F487" s="273"/>
      <c r="G487" s="556"/>
      <c r="H487" s="251"/>
      <c r="I487" s="251"/>
      <c r="J487" s="251"/>
      <c r="K487" s="360"/>
    </row>
    <row r="488" spans="1:11" ht="15" customHeight="1" x14ac:dyDescent="0.45">
      <c r="A488" s="653"/>
      <c r="B488" s="355">
        <f>B487+1</f>
        <v>1</v>
      </c>
      <c r="C488" s="28" t="s">
        <v>4</v>
      </c>
      <c r="D488" s="21"/>
      <c r="E488" s="25" t="str">
        <f t="shared" ref="E488:E502" si="59">CONCATENATE($C$486,DEC2HEX(B488))</f>
        <v>0x1281</v>
      </c>
      <c r="F488" s="273"/>
      <c r="G488" s="556"/>
      <c r="H488" s="251"/>
      <c r="I488" s="251"/>
      <c r="J488" s="251"/>
      <c r="K488" s="360"/>
    </row>
    <row r="489" spans="1:11" ht="15" customHeight="1" x14ac:dyDescent="0.45">
      <c r="A489" s="653"/>
      <c r="B489" s="355">
        <f t="shared" ref="B489:B502" si="60">B488+1</f>
        <v>2</v>
      </c>
      <c r="C489" s="28" t="s">
        <v>6</v>
      </c>
      <c r="D489" s="21"/>
      <c r="E489" s="25" t="str">
        <f t="shared" si="59"/>
        <v>0x1282</v>
      </c>
      <c r="F489" s="273"/>
      <c r="G489" s="556"/>
      <c r="H489" s="251"/>
      <c r="I489" s="251"/>
      <c r="J489" s="251"/>
      <c r="K489" s="360"/>
    </row>
    <row r="490" spans="1:11" ht="15" customHeight="1" x14ac:dyDescent="0.45">
      <c r="A490" s="653"/>
      <c r="B490" s="355">
        <f t="shared" si="60"/>
        <v>3</v>
      </c>
      <c r="C490" s="28" t="s">
        <v>7</v>
      </c>
      <c r="D490" s="21"/>
      <c r="E490" s="25" t="str">
        <f t="shared" si="59"/>
        <v>0x1283</v>
      </c>
      <c r="F490" s="273"/>
      <c r="G490" s="556"/>
      <c r="H490" s="251"/>
      <c r="I490" s="251"/>
      <c r="J490" s="251"/>
      <c r="K490" s="360"/>
    </row>
    <row r="491" spans="1:11" ht="15" customHeight="1" x14ac:dyDescent="0.45">
      <c r="A491" s="653"/>
      <c r="B491" s="355">
        <f t="shared" si="60"/>
        <v>4</v>
      </c>
      <c r="C491" s="28" t="s">
        <v>8</v>
      </c>
      <c r="D491" s="21"/>
      <c r="E491" s="25" t="str">
        <f t="shared" si="59"/>
        <v>0x1284</v>
      </c>
      <c r="F491" s="273"/>
      <c r="G491" s="556"/>
      <c r="H491" s="251"/>
      <c r="I491" s="251"/>
      <c r="J491" s="251"/>
      <c r="K491" s="360"/>
    </row>
    <row r="492" spans="1:11" ht="15" customHeight="1" x14ac:dyDescent="0.45">
      <c r="A492" s="653"/>
      <c r="B492" s="355">
        <f t="shared" si="60"/>
        <v>5</v>
      </c>
      <c r="C492" s="28" t="s">
        <v>9</v>
      </c>
      <c r="D492" s="21"/>
      <c r="E492" s="25" t="str">
        <f t="shared" si="59"/>
        <v>0x1285</v>
      </c>
      <c r="F492" s="273"/>
      <c r="G492" s="556"/>
      <c r="H492" s="251"/>
      <c r="I492" s="251"/>
      <c r="J492" s="251"/>
      <c r="K492" s="360"/>
    </row>
    <row r="493" spans="1:11" ht="15" customHeight="1" x14ac:dyDescent="0.45">
      <c r="A493" s="653"/>
      <c r="B493" s="355">
        <f t="shared" si="60"/>
        <v>6</v>
      </c>
      <c r="C493" s="28" t="s">
        <v>10</v>
      </c>
      <c r="D493" s="21"/>
      <c r="E493" s="25" t="str">
        <f t="shared" si="59"/>
        <v>0x1286</v>
      </c>
      <c r="F493" s="273"/>
      <c r="G493" s="556"/>
      <c r="H493" s="251"/>
      <c r="I493" s="251"/>
      <c r="J493" s="251"/>
      <c r="K493" s="360"/>
    </row>
    <row r="494" spans="1:11" ht="15" customHeight="1" x14ac:dyDescent="0.45">
      <c r="A494" s="653"/>
      <c r="B494" s="355">
        <f t="shared" si="60"/>
        <v>7</v>
      </c>
      <c r="C494" s="28" t="s">
        <v>12</v>
      </c>
      <c r="D494" s="21"/>
      <c r="E494" s="25" t="str">
        <f t="shared" si="59"/>
        <v>0x1287</v>
      </c>
      <c r="F494" s="273"/>
      <c r="G494" s="556"/>
      <c r="H494" s="251"/>
      <c r="I494" s="251"/>
      <c r="J494" s="251"/>
      <c r="K494" s="360"/>
    </row>
    <row r="495" spans="1:11" ht="15" customHeight="1" x14ac:dyDescent="0.45">
      <c r="A495" s="653"/>
      <c r="B495" s="355">
        <f t="shared" si="60"/>
        <v>8</v>
      </c>
      <c r="C495" s="28" t="s">
        <v>13</v>
      </c>
      <c r="D495" s="351" t="s">
        <v>771</v>
      </c>
      <c r="E495" s="25" t="str">
        <f t="shared" si="59"/>
        <v>0x1288</v>
      </c>
      <c r="F495" s="273" t="s">
        <v>772</v>
      </c>
      <c r="G495" s="421" t="s">
        <v>923</v>
      </c>
      <c r="H495" s="269" t="s">
        <v>923</v>
      </c>
      <c r="I495" s="256"/>
      <c r="J495" s="222" t="s">
        <v>921</v>
      </c>
      <c r="K495" s="247">
        <v>0</v>
      </c>
    </row>
    <row r="496" spans="1:11" ht="15" customHeight="1" x14ac:dyDescent="0.45">
      <c r="A496" s="653"/>
      <c r="B496" s="355">
        <f t="shared" si="60"/>
        <v>9</v>
      </c>
      <c r="C496" s="28" t="s">
        <v>14</v>
      </c>
      <c r="D496" s="351"/>
      <c r="E496" s="25" t="str">
        <f>CONCATENATE($C$486,DEC2HEX(B496))</f>
        <v>0x1289</v>
      </c>
      <c r="F496" s="273"/>
      <c r="G496" s="556"/>
      <c r="H496" s="251"/>
      <c r="I496" s="251"/>
      <c r="J496" s="251"/>
      <c r="K496" s="360"/>
    </row>
    <row r="497" spans="1:11" ht="15" customHeight="1" x14ac:dyDescent="0.45">
      <c r="A497" s="653"/>
      <c r="B497" s="355">
        <f t="shared" si="60"/>
        <v>10</v>
      </c>
      <c r="C497" s="28" t="s">
        <v>15</v>
      </c>
      <c r="D497" s="351"/>
      <c r="E497" s="25" t="str">
        <f t="shared" si="59"/>
        <v>0x128A</v>
      </c>
      <c r="F497" s="273"/>
      <c r="G497" s="556"/>
      <c r="H497" s="251"/>
      <c r="I497" s="251"/>
      <c r="J497" s="251"/>
      <c r="K497" s="360"/>
    </row>
    <row r="498" spans="1:11" ht="15" customHeight="1" x14ac:dyDescent="0.45">
      <c r="A498" s="653"/>
      <c r="B498" s="355">
        <f t="shared" si="60"/>
        <v>11</v>
      </c>
      <c r="C498" s="28" t="s">
        <v>16</v>
      </c>
      <c r="D498" s="351"/>
      <c r="E498" s="25" t="str">
        <f t="shared" si="59"/>
        <v>0x128B</v>
      </c>
      <c r="F498" s="273"/>
      <c r="G498" s="556"/>
      <c r="H498" s="251"/>
      <c r="I498" s="251"/>
      <c r="J498" s="251"/>
      <c r="K498" s="360"/>
    </row>
    <row r="499" spans="1:11" ht="15" customHeight="1" x14ac:dyDescent="0.45">
      <c r="A499" s="653"/>
      <c r="B499" s="355">
        <f t="shared" si="60"/>
        <v>12</v>
      </c>
      <c r="C499" s="28" t="s">
        <v>17</v>
      </c>
      <c r="D499" s="351"/>
      <c r="E499" s="25" t="str">
        <f t="shared" si="59"/>
        <v>0x128C</v>
      </c>
      <c r="F499" s="273"/>
      <c r="G499" s="421"/>
      <c r="H499" s="269"/>
      <c r="I499" s="256"/>
      <c r="J499" s="222"/>
      <c r="K499" s="247"/>
    </row>
    <row r="500" spans="1:11" ht="15" customHeight="1" x14ac:dyDescent="0.45">
      <c r="A500" s="653"/>
      <c r="B500" s="355">
        <f t="shared" si="60"/>
        <v>13</v>
      </c>
      <c r="C500" s="28" t="s">
        <v>18</v>
      </c>
      <c r="D500" s="351" t="s">
        <v>769</v>
      </c>
      <c r="E500" s="25" t="str">
        <f t="shared" si="59"/>
        <v>0x128D</v>
      </c>
      <c r="F500" s="273" t="s">
        <v>770</v>
      </c>
      <c r="G500" s="421" t="s">
        <v>923</v>
      </c>
      <c r="H500" s="269" t="s">
        <v>923</v>
      </c>
      <c r="I500" s="256"/>
      <c r="J500" s="222" t="s">
        <v>921</v>
      </c>
      <c r="K500" s="247">
        <v>0</v>
      </c>
    </row>
    <row r="501" spans="1:11" ht="15" customHeight="1" x14ac:dyDescent="0.45">
      <c r="A501" s="653"/>
      <c r="B501" s="355">
        <f t="shared" si="60"/>
        <v>14</v>
      </c>
      <c r="C501" s="28" t="s">
        <v>19</v>
      </c>
      <c r="D501" s="351" t="s">
        <v>685</v>
      </c>
      <c r="E501" s="25" t="str">
        <f t="shared" si="59"/>
        <v>0x128E</v>
      </c>
      <c r="F501" s="273" t="s">
        <v>687</v>
      </c>
      <c r="G501" s="421" t="s">
        <v>923</v>
      </c>
      <c r="H501" s="269" t="s">
        <v>923</v>
      </c>
      <c r="I501" s="256"/>
      <c r="J501" s="222" t="s">
        <v>921</v>
      </c>
      <c r="K501" s="247">
        <v>0</v>
      </c>
    </row>
    <row r="502" spans="1:11" ht="15" customHeight="1" x14ac:dyDescent="0.45">
      <c r="A502" s="653"/>
      <c r="B502" s="45">
        <f t="shared" si="60"/>
        <v>15</v>
      </c>
      <c r="C502" s="46" t="s">
        <v>20</v>
      </c>
      <c r="D502" s="352" t="s">
        <v>684</v>
      </c>
      <c r="E502" s="25" t="str">
        <f t="shared" si="59"/>
        <v>0x128F</v>
      </c>
      <c r="F502" s="100" t="s">
        <v>686</v>
      </c>
      <c r="G502" s="421" t="s">
        <v>923</v>
      </c>
      <c r="H502" s="269" t="s">
        <v>923</v>
      </c>
      <c r="I502" s="256"/>
      <c r="J502" s="222" t="s">
        <v>921</v>
      </c>
      <c r="K502" s="247">
        <v>0</v>
      </c>
    </row>
    <row r="503" spans="1:11" ht="15" customHeight="1" x14ac:dyDescent="0.45">
      <c r="A503" s="653"/>
      <c r="B503" s="56" t="s">
        <v>548</v>
      </c>
      <c r="C503" s="50" t="str">
        <f>CONCATENATE("0x",DEC2HEX(9+HEX2DEC('inicio zonas'!$B$20)))</f>
        <v>0x129</v>
      </c>
      <c r="D503" s="71"/>
      <c r="E503" s="72"/>
      <c r="F503" s="55" t="s">
        <v>691</v>
      </c>
      <c r="G503" s="552"/>
      <c r="H503" s="87"/>
      <c r="I503" s="491"/>
      <c r="J503" s="87"/>
      <c r="K503" s="243"/>
    </row>
    <row r="504" spans="1:11" ht="15" customHeight="1" x14ac:dyDescent="0.45">
      <c r="A504" s="653"/>
      <c r="B504" s="230"/>
      <c r="C504" s="65"/>
      <c r="D504" s="73"/>
      <c r="E504" s="354"/>
      <c r="F504" s="363"/>
      <c r="G504" s="553"/>
      <c r="H504" s="361"/>
      <c r="I504" s="571"/>
      <c r="J504" s="361"/>
      <c r="K504" s="264"/>
    </row>
    <row r="505" spans="1:11" ht="15" customHeight="1" x14ac:dyDescent="0.45">
      <c r="A505" s="653"/>
      <c r="B505" s="54" t="s">
        <v>690</v>
      </c>
      <c r="C505" s="40" t="str">
        <f>CONCATENATE("0x",DEC2HEX(12+HEX2DEC('inicio zonas'!$B$20)))</f>
        <v>0x12C</v>
      </c>
      <c r="D505" s="184"/>
      <c r="E505" s="358"/>
      <c r="F505" s="356"/>
      <c r="G505" s="555"/>
      <c r="H505" s="357"/>
      <c r="I505" s="357"/>
      <c r="J505" s="357"/>
      <c r="K505" s="359"/>
    </row>
    <row r="506" spans="1:11" ht="15" customHeight="1" x14ac:dyDescent="0.45">
      <c r="A506" s="653"/>
      <c r="B506" s="355">
        <v>0</v>
      </c>
      <c r="C506" s="28" t="s">
        <v>2</v>
      </c>
      <c r="D506" s="21"/>
      <c r="E506" s="25" t="str">
        <f>CONCATENATE($C$505,DEC2HEX(B506))</f>
        <v>0x12C0</v>
      </c>
      <c r="F506" s="273"/>
      <c r="G506" s="556"/>
      <c r="H506" s="251"/>
      <c r="I506" s="251"/>
      <c r="J506" s="251"/>
      <c r="K506" s="360"/>
    </row>
    <row r="507" spans="1:11" ht="15" customHeight="1" x14ac:dyDescent="0.45">
      <c r="A507" s="653"/>
      <c r="B507" s="355">
        <f>B506+1</f>
        <v>1</v>
      </c>
      <c r="C507" s="28" t="s">
        <v>4</v>
      </c>
      <c r="D507" s="21"/>
      <c r="E507" s="25" t="str">
        <f t="shared" ref="E507:E521" si="61">CONCATENATE($C$505,DEC2HEX(B507))</f>
        <v>0x12C1</v>
      </c>
      <c r="F507" s="273"/>
      <c r="G507" s="556"/>
      <c r="H507" s="251"/>
      <c r="I507" s="251"/>
      <c r="J507" s="251"/>
      <c r="K507" s="360"/>
    </row>
    <row r="508" spans="1:11" ht="15" customHeight="1" x14ac:dyDescent="0.45">
      <c r="A508" s="653"/>
      <c r="B508" s="355">
        <f t="shared" ref="B508:B521" si="62">B507+1</f>
        <v>2</v>
      </c>
      <c r="C508" s="28" t="s">
        <v>6</v>
      </c>
      <c r="D508" s="21"/>
      <c r="E508" s="25" t="str">
        <f t="shared" si="61"/>
        <v>0x12C2</v>
      </c>
      <c r="F508" s="273"/>
      <c r="G508" s="556"/>
      <c r="H508" s="251"/>
      <c r="I508" s="251"/>
      <c r="J508" s="251"/>
      <c r="K508" s="360"/>
    </row>
    <row r="509" spans="1:11" ht="15" customHeight="1" x14ac:dyDescent="0.45">
      <c r="A509" s="653"/>
      <c r="B509" s="355">
        <f t="shared" si="62"/>
        <v>3</v>
      </c>
      <c r="C509" s="28" t="s">
        <v>7</v>
      </c>
      <c r="D509" s="21"/>
      <c r="E509" s="25" t="str">
        <f t="shared" si="61"/>
        <v>0x12C3</v>
      </c>
      <c r="F509" s="273"/>
      <c r="G509" s="556"/>
      <c r="H509" s="251"/>
      <c r="I509" s="251"/>
      <c r="J509" s="251"/>
      <c r="K509" s="360"/>
    </row>
    <row r="510" spans="1:11" ht="15" customHeight="1" x14ac:dyDescent="0.45">
      <c r="A510" s="653"/>
      <c r="B510" s="355">
        <f t="shared" si="62"/>
        <v>4</v>
      </c>
      <c r="C510" s="28" t="s">
        <v>8</v>
      </c>
      <c r="D510" s="21"/>
      <c r="E510" s="25" t="str">
        <f t="shared" si="61"/>
        <v>0x12C4</v>
      </c>
      <c r="F510" s="273"/>
      <c r="G510" s="556"/>
      <c r="H510" s="251"/>
      <c r="I510" s="251"/>
      <c r="J510" s="251"/>
      <c r="K510" s="360"/>
    </row>
    <row r="511" spans="1:11" ht="15" customHeight="1" x14ac:dyDescent="0.45">
      <c r="A511" s="653"/>
      <c r="B511" s="355">
        <f t="shared" si="62"/>
        <v>5</v>
      </c>
      <c r="C511" s="28" t="s">
        <v>9</v>
      </c>
      <c r="D511" s="21"/>
      <c r="E511" s="25" t="str">
        <f t="shared" si="61"/>
        <v>0x12C5</v>
      </c>
      <c r="F511" s="273"/>
      <c r="G511" s="556"/>
      <c r="H511" s="251"/>
      <c r="I511" s="251"/>
      <c r="J511" s="251"/>
      <c r="K511" s="360"/>
    </row>
    <row r="512" spans="1:11" ht="15" customHeight="1" x14ac:dyDescent="0.45">
      <c r="A512" s="653"/>
      <c r="B512" s="355">
        <f t="shared" si="62"/>
        <v>6</v>
      </c>
      <c r="C512" s="28" t="s">
        <v>10</v>
      </c>
      <c r="D512" s="21"/>
      <c r="E512" s="25" t="str">
        <f t="shared" si="61"/>
        <v>0x12C6</v>
      </c>
      <c r="F512" s="273"/>
      <c r="G512" s="556"/>
      <c r="H512" s="251"/>
      <c r="I512" s="251"/>
      <c r="J512" s="251"/>
      <c r="K512" s="360"/>
    </row>
    <row r="513" spans="1:16" ht="15" customHeight="1" x14ac:dyDescent="0.45">
      <c r="A513" s="653"/>
      <c r="B513" s="355">
        <f t="shared" si="62"/>
        <v>7</v>
      </c>
      <c r="C513" s="28" t="s">
        <v>12</v>
      </c>
      <c r="D513" s="21"/>
      <c r="E513" s="25" t="str">
        <f t="shared" si="61"/>
        <v>0x12C7</v>
      </c>
      <c r="F513" s="273"/>
      <c r="G513" s="556"/>
      <c r="H513" s="251"/>
      <c r="I513" s="251"/>
      <c r="J513" s="251"/>
      <c r="K513" s="360"/>
    </row>
    <row r="514" spans="1:16" ht="15" customHeight="1" x14ac:dyDescent="0.45">
      <c r="A514" s="653"/>
      <c r="B514" s="355">
        <f t="shared" si="62"/>
        <v>8</v>
      </c>
      <c r="C514" s="28" t="s">
        <v>13</v>
      </c>
      <c r="D514" s="351" t="s">
        <v>771</v>
      </c>
      <c r="E514" s="25" t="str">
        <f t="shared" si="61"/>
        <v>0x12C8</v>
      </c>
      <c r="F514" s="273" t="s">
        <v>772</v>
      </c>
      <c r="G514" s="421" t="s">
        <v>923</v>
      </c>
      <c r="H514" s="269" t="s">
        <v>923</v>
      </c>
      <c r="I514" s="256"/>
      <c r="J514" s="222" t="s">
        <v>921</v>
      </c>
      <c r="K514" s="247">
        <v>0</v>
      </c>
    </row>
    <row r="515" spans="1:16" ht="15" customHeight="1" x14ac:dyDescent="0.45">
      <c r="A515" s="653"/>
      <c r="B515" s="355">
        <f t="shared" si="62"/>
        <v>9</v>
      </c>
      <c r="C515" s="28" t="s">
        <v>14</v>
      </c>
      <c r="D515" s="351"/>
      <c r="E515" s="25" t="str">
        <f t="shared" si="61"/>
        <v>0x12C9</v>
      </c>
      <c r="F515" s="273"/>
      <c r="G515" s="556"/>
      <c r="H515" s="251"/>
      <c r="I515" s="251"/>
      <c r="J515" s="251"/>
      <c r="K515" s="360"/>
    </row>
    <row r="516" spans="1:16" ht="15" customHeight="1" x14ac:dyDescent="0.45">
      <c r="A516" s="653"/>
      <c r="B516" s="355">
        <f t="shared" si="62"/>
        <v>10</v>
      </c>
      <c r="C516" s="28" t="s">
        <v>15</v>
      </c>
      <c r="D516" s="351"/>
      <c r="E516" s="25" t="str">
        <f t="shared" si="61"/>
        <v>0x12CA</v>
      </c>
      <c r="F516" s="273"/>
      <c r="G516" s="556"/>
      <c r="H516" s="251"/>
      <c r="I516" s="251"/>
      <c r="J516" s="251"/>
      <c r="K516" s="360"/>
    </row>
    <row r="517" spans="1:16" ht="15" customHeight="1" x14ac:dyDescent="0.45">
      <c r="A517" s="653"/>
      <c r="B517" s="355">
        <f t="shared" si="62"/>
        <v>11</v>
      </c>
      <c r="C517" s="28" t="s">
        <v>16</v>
      </c>
      <c r="D517" s="351"/>
      <c r="E517" s="25" t="str">
        <f t="shared" si="61"/>
        <v>0x12CB</v>
      </c>
      <c r="F517" s="273"/>
      <c r="G517" s="556"/>
      <c r="H517" s="251"/>
      <c r="I517" s="251"/>
      <c r="J517" s="251"/>
      <c r="K517" s="360"/>
      <c r="O517" s="15" t="s">
        <v>572</v>
      </c>
      <c r="P517" s="236"/>
    </row>
    <row r="518" spans="1:16" ht="15" customHeight="1" x14ac:dyDescent="0.45">
      <c r="A518" s="653"/>
      <c r="B518" s="355">
        <f t="shared" si="62"/>
        <v>12</v>
      </c>
      <c r="C518" s="28" t="s">
        <v>17</v>
      </c>
      <c r="D518" s="351"/>
      <c r="E518" s="25" t="str">
        <f t="shared" si="61"/>
        <v>0x12CC</v>
      </c>
      <c r="F518" s="273"/>
      <c r="G518" s="421"/>
      <c r="H518" s="269"/>
      <c r="I518" s="256"/>
      <c r="J518" s="222"/>
      <c r="K518" s="247"/>
      <c r="O518" s="346" t="s">
        <v>676</v>
      </c>
      <c r="P518" s="347" t="s">
        <v>675</v>
      </c>
    </row>
    <row r="519" spans="1:16" ht="15" customHeight="1" x14ac:dyDescent="0.45">
      <c r="A519" s="653"/>
      <c r="B519" s="355">
        <f t="shared" si="62"/>
        <v>13</v>
      </c>
      <c r="C519" s="28" t="s">
        <v>18</v>
      </c>
      <c r="D519" s="351" t="s">
        <v>769</v>
      </c>
      <c r="E519" s="25" t="str">
        <f t="shared" si="61"/>
        <v>0x12CD</v>
      </c>
      <c r="F519" s="273" t="s">
        <v>770</v>
      </c>
      <c r="G519" s="421" t="s">
        <v>923</v>
      </c>
      <c r="H519" s="269" t="s">
        <v>923</v>
      </c>
      <c r="I519" s="256"/>
      <c r="J519" s="222" t="s">
        <v>921</v>
      </c>
      <c r="K519" s="247">
        <v>0</v>
      </c>
      <c r="O519" s="88" t="s">
        <v>649</v>
      </c>
      <c r="P519" s="87">
        <v>0</v>
      </c>
    </row>
    <row r="520" spans="1:16" ht="15" customHeight="1" x14ac:dyDescent="0.45">
      <c r="A520" s="653"/>
      <c r="B520" s="355">
        <f t="shared" si="62"/>
        <v>14</v>
      </c>
      <c r="C520" s="28" t="s">
        <v>19</v>
      </c>
      <c r="D520" s="351" t="s">
        <v>685</v>
      </c>
      <c r="E520" s="25" t="str">
        <f t="shared" si="61"/>
        <v>0x12CE</v>
      </c>
      <c r="F520" s="273" t="s">
        <v>687</v>
      </c>
      <c r="G520" s="421" t="s">
        <v>923</v>
      </c>
      <c r="H520" s="269" t="s">
        <v>923</v>
      </c>
      <c r="I520" s="256"/>
      <c r="J520" s="222" t="s">
        <v>921</v>
      </c>
      <c r="K520" s="247">
        <v>0</v>
      </c>
      <c r="O520" s="88" t="s">
        <v>650</v>
      </c>
      <c r="P520" s="87">
        <v>1</v>
      </c>
    </row>
    <row r="521" spans="1:16" ht="15" customHeight="1" x14ac:dyDescent="0.45">
      <c r="A521" s="653"/>
      <c r="B521" s="45">
        <f t="shared" si="62"/>
        <v>15</v>
      </c>
      <c r="C521" s="46" t="s">
        <v>20</v>
      </c>
      <c r="D521" s="352" t="s">
        <v>684</v>
      </c>
      <c r="E521" s="25" t="str">
        <f t="shared" si="61"/>
        <v>0x12CF</v>
      </c>
      <c r="F521" s="100" t="s">
        <v>686</v>
      </c>
      <c r="G521" s="421" t="s">
        <v>923</v>
      </c>
      <c r="H521" s="269" t="s">
        <v>923</v>
      </c>
      <c r="I521" s="256"/>
      <c r="J521" s="222" t="s">
        <v>921</v>
      </c>
      <c r="K521" s="247">
        <v>0</v>
      </c>
      <c r="O521" s="88" t="s">
        <v>651</v>
      </c>
      <c r="P521" s="87">
        <v>2</v>
      </c>
    </row>
    <row r="522" spans="1:16" ht="15" customHeight="1" x14ac:dyDescent="0.45">
      <c r="A522" s="647"/>
      <c r="B522" s="56" t="s">
        <v>549</v>
      </c>
      <c r="C522" s="50" t="str">
        <f>CONCATENATE("0x",DEC2HEX(13+HEX2DEC('inicio zonas'!$B$20)))</f>
        <v>0x12D</v>
      </c>
      <c r="D522" s="71"/>
      <c r="E522" s="72"/>
      <c r="F522" s="55" t="s">
        <v>691</v>
      </c>
      <c r="G522" s="552" t="s">
        <v>923</v>
      </c>
      <c r="H522" s="87" t="s">
        <v>923</v>
      </c>
      <c r="I522" s="491"/>
      <c r="J522" s="87" t="s">
        <v>921</v>
      </c>
      <c r="K522" s="243">
        <v>0</v>
      </c>
      <c r="O522" s="88" t="s">
        <v>652</v>
      </c>
      <c r="P522" s="87">
        <v>3</v>
      </c>
    </row>
    <row r="523" spans="1:16" x14ac:dyDescent="0.45">
      <c r="G523" s="421"/>
      <c r="H523" s="273"/>
      <c r="I523" s="25"/>
      <c r="J523" s="21"/>
      <c r="K523" s="263"/>
      <c r="O523" s="88" t="s">
        <v>696</v>
      </c>
      <c r="P523" s="87">
        <v>4</v>
      </c>
    </row>
    <row r="524" spans="1:16" x14ac:dyDescent="0.45">
      <c r="G524" s="421"/>
      <c r="H524" s="273"/>
      <c r="I524" s="25"/>
      <c r="J524" s="21"/>
      <c r="K524" s="263"/>
      <c r="O524" s="88" t="s">
        <v>697</v>
      </c>
      <c r="P524" s="87">
        <v>5</v>
      </c>
    </row>
    <row r="525" spans="1:16" ht="15" customHeight="1" x14ac:dyDescent="0.45">
      <c r="A525" s="648" t="s">
        <v>842</v>
      </c>
      <c r="B525" s="55" t="s">
        <v>648</v>
      </c>
      <c r="C525" s="431" t="str">
        <f>CONCATENATE("0x",DEC2HEX(HEX2DEC('inicio zonas'!$B$21)))</f>
        <v>0x130</v>
      </c>
      <c r="D525" s="56"/>
      <c r="E525" s="199"/>
      <c r="F525" s="55" t="s">
        <v>571</v>
      </c>
      <c r="G525" s="552" t="s">
        <v>923</v>
      </c>
      <c r="H525" s="87" t="s">
        <v>923</v>
      </c>
      <c r="I525" s="491"/>
      <c r="J525" s="87" t="s">
        <v>921</v>
      </c>
      <c r="K525" s="243">
        <v>0</v>
      </c>
      <c r="O525" s="88" t="s">
        <v>698</v>
      </c>
      <c r="P525" s="87">
        <v>6</v>
      </c>
    </row>
    <row r="526" spans="1:16" ht="15" customHeight="1" x14ac:dyDescent="0.45">
      <c r="A526" s="649"/>
      <c r="B526" s="417" t="s">
        <v>894</v>
      </c>
      <c r="C526" s="431" t="str">
        <f>CONCATENATE("0x",DEC2HEX(1+HEX2DEC('inicio zonas'!$B$21)))</f>
        <v>0x131</v>
      </c>
      <c r="D526" s="406"/>
      <c r="E526" s="170"/>
      <c r="F526" s="406"/>
      <c r="G526" s="501"/>
      <c r="H526" s="408"/>
      <c r="I526" s="572"/>
      <c r="J526" s="216"/>
      <c r="K526" s="312"/>
      <c r="O526" s="88" t="s">
        <v>699</v>
      </c>
      <c r="P526" s="87">
        <v>8</v>
      </c>
    </row>
    <row r="527" spans="1:16" x14ac:dyDescent="0.45">
      <c r="A527" s="649"/>
      <c r="B527" s="355">
        <v>0</v>
      </c>
      <c r="C527" s="28" t="s">
        <v>2</v>
      </c>
      <c r="D527" s="21" t="s">
        <v>896</v>
      </c>
      <c r="E527" s="42" t="str">
        <f>CONCATENATE($C$526,DEC2HEX(B527))</f>
        <v>0x1310</v>
      </c>
      <c r="F527" s="119" t="s">
        <v>897</v>
      </c>
      <c r="G527" s="504" t="s">
        <v>923</v>
      </c>
      <c r="H527" s="409" t="s">
        <v>923</v>
      </c>
      <c r="I527" s="563" t="s">
        <v>655</v>
      </c>
      <c r="J527" s="298" t="s">
        <v>921</v>
      </c>
      <c r="K527" s="313">
        <v>0</v>
      </c>
      <c r="O527" s="88" t="s">
        <v>700</v>
      </c>
      <c r="P527" s="87">
        <v>9</v>
      </c>
    </row>
    <row r="528" spans="1:16" x14ac:dyDescent="0.45">
      <c r="A528" s="649"/>
      <c r="B528" s="355">
        <f>B527+1</f>
        <v>1</v>
      </c>
      <c r="C528" s="28" t="s">
        <v>4</v>
      </c>
      <c r="D528" s="21"/>
      <c r="E528" s="42" t="str">
        <f t="shared" ref="E528:E542" si="63">CONCATENATE($C$526,DEC2HEX(B528))</f>
        <v>0x1311</v>
      </c>
      <c r="F528" s="128"/>
      <c r="G528" s="504"/>
      <c r="H528" s="409"/>
      <c r="I528" s="563"/>
      <c r="J528" s="298"/>
      <c r="K528" s="313"/>
      <c r="O528" s="88" t="s">
        <v>701</v>
      </c>
      <c r="P528" s="87">
        <v>10</v>
      </c>
    </row>
    <row r="529" spans="1:11" x14ac:dyDescent="0.45">
      <c r="A529" s="649"/>
      <c r="B529" s="355">
        <f t="shared" ref="B529:B542" si="64">B528+1</f>
        <v>2</v>
      </c>
      <c r="C529" s="28" t="s">
        <v>6</v>
      </c>
      <c r="D529" s="21"/>
      <c r="E529" s="42" t="str">
        <f t="shared" si="63"/>
        <v>0x1312</v>
      </c>
      <c r="F529" s="119"/>
      <c r="G529" s="504"/>
      <c r="H529" s="409"/>
      <c r="I529" s="563"/>
      <c r="J529" s="298"/>
      <c r="K529" s="313"/>
    </row>
    <row r="530" spans="1:11" x14ac:dyDescent="0.45">
      <c r="A530" s="649"/>
      <c r="B530" s="355">
        <f t="shared" si="64"/>
        <v>3</v>
      </c>
      <c r="C530" s="28" t="s">
        <v>7</v>
      </c>
      <c r="D530" s="21"/>
      <c r="E530" s="42" t="str">
        <f t="shared" si="63"/>
        <v>0x1313</v>
      </c>
      <c r="F530" s="119"/>
      <c r="G530" s="504"/>
      <c r="H530" s="409"/>
      <c r="I530" s="563"/>
      <c r="J530" s="298"/>
      <c r="K530" s="313"/>
    </row>
    <row r="531" spans="1:11" x14ac:dyDescent="0.45">
      <c r="A531" s="649"/>
      <c r="B531" s="355">
        <f t="shared" si="64"/>
        <v>4</v>
      </c>
      <c r="C531" s="28" t="s">
        <v>8</v>
      </c>
      <c r="D531" s="21"/>
      <c r="E531" s="42" t="str">
        <f t="shared" si="63"/>
        <v>0x1314</v>
      </c>
      <c r="F531" s="119"/>
      <c r="G531" s="504"/>
      <c r="H531" s="409"/>
      <c r="I531" s="563"/>
      <c r="J531" s="298"/>
      <c r="K531" s="313"/>
    </row>
    <row r="532" spans="1:11" x14ac:dyDescent="0.45">
      <c r="A532" s="649"/>
      <c r="B532" s="355">
        <f t="shared" si="64"/>
        <v>5</v>
      </c>
      <c r="C532" s="28" t="s">
        <v>9</v>
      </c>
      <c r="D532" s="21"/>
      <c r="E532" s="42" t="str">
        <f t="shared" si="63"/>
        <v>0x1315</v>
      </c>
      <c r="F532" s="119"/>
      <c r="G532" s="504"/>
      <c r="H532" s="409"/>
      <c r="I532" s="563"/>
      <c r="J532" s="298"/>
      <c r="K532" s="313"/>
    </row>
    <row r="533" spans="1:11" x14ac:dyDescent="0.45">
      <c r="A533" s="649"/>
      <c r="B533" s="355">
        <f t="shared" si="64"/>
        <v>6</v>
      </c>
      <c r="C533" s="28" t="s">
        <v>10</v>
      </c>
      <c r="D533" s="21"/>
      <c r="E533" s="42" t="str">
        <f t="shared" si="63"/>
        <v>0x1316</v>
      </c>
      <c r="F533" s="119"/>
      <c r="G533" s="504"/>
      <c r="H533" s="409"/>
      <c r="I533" s="563"/>
      <c r="J533" s="298"/>
      <c r="K533" s="313"/>
    </row>
    <row r="534" spans="1:11" x14ac:dyDescent="0.45">
      <c r="A534" s="649"/>
      <c r="B534" s="355">
        <f t="shared" si="64"/>
        <v>7</v>
      </c>
      <c r="C534" s="28" t="s">
        <v>12</v>
      </c>
      <c r="D534" s="21"/>
      <c r="E534" s="42" t="str">
        <f t="shared" si="63"/>
        <v>0x1317</v>
      </c>
      <c r="F534" s="119"/>
      <c r="G534" s="504"/>
      <c r="H534" s="409"/>
      <c r="I534" s="563"/>
      <c r="J534" s="437"/>
      <c r="K534" s="341"/>
    </row>
    <row r="535" spans="1:11" x14ac:dyDescent="0.45">
      <c r="A535" s="649"/>
      <c r="B535" s="355">
        <f t="shared" si="64"/>
        <v>8</v>
      </c>
      <c r="C535" s="28" t="s">
        <v>13</v>
      </c>
      <c r="D535" s="351"/>
      <c r="E535" s="42" t="str">
        <f t="shared" si="63"/>
        <v>0x1318</v>
      </c>
      <c r="F535" s="442"/>
      <c r="G535" s="515"/>
      <c r="H535" s="439"/>
      <c r="I535" s="488"/>
      <c r="J535" s="439"/>
      <c r="K535" s="341"/>
    </row>
    <row r="536" spans="1:11" x14ac:dyDescent="0.45">
      <c r="A536" s="649"/>
      <c r="B536" s="355">
        <f t="shared" si="64"/>
        <v>9</v>
      </c>
      <c r="C536" s="28" t="s">
        <v>14</v>
      </c>
      <c r="D536" s="351"/>
      <c r="E536" s="42" t="str">
        <f t="shared" si="63"/>
        <v>0x1319</v>
      </c>
      <c r="F536" s="442"/>
      <c r="G536" s="515"/>
      <c r="H536" s="439"/>
      <c r="I536" s="488"/>
      <c r="J536" s="439"/>
      <c r="K536" s="341"/>
    </row>
    <row r="537" spans="1:11" x14ac:dyDescent="0.45">
      <c r="A537" s="649"/>
      <c r="B537" s="355">
        <f t="shared" si="64"/>
        <v>10</v>
      </c>
      <c r="C537" s="28" t="s">
        <v>15</v>
      </c>
      <c r="D537" s="351"/>
      <c r="E537" s="42" t="str">
        <f t="shared" si="63"/>
        <v>0x131A</v>
      </c>
      <c r="F537" s="442"/>
      <c r="G537" s="515"/>
      <c r="H537" s="439"/>
      <c r="I537" s="488"/>
      <c r="J537" s="439"/>
      <c r="K537" s="341"/>
    </row>
    <row r="538" spans="1:11" x14ac:dyDescent="0.45">
      <c r="A538" s="649"/>
      <c r="B538" s="355">
        <f t="shared" si="64"/>
        <v>11</v>
      </c>
      <c r="C538" s="28" t="s">
        <v>16</v>
      </c>
      <c r="D538" s="351"/>
      <c r="E538" s="42" t="str">
        <f t="shared" si="63"/>
        <v>0x131B</v>
      </c>
      <c r="F538" s="442"/>
      <c r="G538" s="515"/>
      <c r="H538" s="439"/>
      <c r="I538" s="488"/>
      <c r="J538" s="439"/>
      <c r="K538" s="341"/>
    </row>
    <row r="539" spans="1:11" x14ac:dyDescent="0.45">
      <c r="A539" s="649"/>
      <c r="B539" s="355">
        <f t="shared" si="64"/>
        <v>12</v>
      </c>
      <c r="C539" s="28" t="s">
        <v>17</v>
      </c>
      <c r="D539" s="351"/>
      <c r="E539" s="42" t="str">
        <f t="shared" si="63"/>
        <v>0x131C</v>
      </c>
      <c r="F539" s="442"/>
      <c r="G539" s="515"/>
      <c r="H539" s="439"/>
      <c r="I539" s="488"/>
      <c r="J539" s="439"/>
      <c r="K539" s="341"/>
    </row>
    <row r="540" spans="1:11" x14ac:dyDescent="0.45">
      <c r="A540" s="649"/>
      <c r="B540" s="355">
        <f t="shared" si="64"/>
        <v>13</v>
      </c>
      <c r="C540" s="28" t="s">
        <v>18</v>
      </c>
      <c r="D540" s="351"/>
      <c r="E540" s="42" t="str">
        <f t="shared" si="63"/>
        <v>0x131D</v>
      </c>
      <c r="F540" s="442"/>
      <c r="G540" s="515"/>
      <c r="H540" s="439"/>
      <c r="I540" s="488"/>
      <c r="J540" s="439"/>
      <c r="K540" s="341"/>
    </row>
    <row r="541" spans="1:11" x14ac:dyDescent="0.45">
      <c r="A541" s="649"/>
      <c r="B541" s="355">
        <f t="shared" si="64"/>
        <v>14</v>
      </c>
      <c r="C541" s="28" t="s">
        <v>19</v>
      </c>
      <c r="D541" s="351"/>
      <c r="E541" s="42" t="str">
        <f t="shared" si="63"/>
        <v>0x131E</v>
      </c>
      <c r="F541" s="442"/>
      <c r="G541" s="515"/>
      <c r="H541" s="439"/>
      <c r="I541" s="488"/>
      <c r="J541" s="439"/>
      <c r="K541" s="341"/>
    </row>
    <row r="542" spans="1:11" x14ac:dyDescent="0.45">
      <c r="A542" s="649"/>
      <c r="B542" s="45">
        <f t="shared" si="64"/>
        <v>15</v>
      </c>
      <c r="C542" s="46" t="s">
        <v>20</v>
      </c>
      <c r="D542" s="352"/>
      <c r="E542" s="48" t="str">
        <f t="shared" si="63"/>
        <v>0x131F</v>
      </c>
      <c r="F542" s="443"/>
      <c r="G542" s="516"/>
      <c r="H542" s="440"/>
      <c r="I542" s="490"/>
      <c r="J542" s="440"/>
      <c r="K542" s="441"/>
    </row>
    <row r="543" spans="1:11" ht="15" customHeight="1" x14ac:dyDescent="0.45">
      <c r="A543" s="649"/>
      <c r="B543" s="137" t="s">
        <v>580</v>
      </c>
      <c r="C543" s="129" t="str">
        <f>CONCATENATE("0x", 2+DEC2HEX(HEX2DEC('inicio zonas'!$B$21)))</f>
        <v>0x132</v>
      </c>
      <c r="D543" s="138"/>
      <c r="E543" s="168"/>
      <c r="F543" s="102" t="s">
        <v>139</v>
      </c>
      <c r="G543" s="552" t="s">
        <v>923</v>
      </c>
      <c r="H543" s="87" t="s">
        <v>923</v>
      </c>
      <c r="I543" s="491"/>
      <c r="J543" s="87" t="s">
        <v>922</v>
      </c>
      <c r="K543" s="243">
        <v>0</v>
      </c>
    </row>
    <row r="544" spans="1:11" ht="15" customHeight="1" x14ac:dyDescent="0.45">
      <c r="A544" s="649"/>
      <c r="B544" s="166" t="s">
        <v>581</v>
      </c>
      <c r="C544" s="129" t="str">
        <f>CONCATENATE("0x", 3+DEC2HEX(HEX2DEC('inicio zonas'!$B$21)))</f>
        <v>0x133</v>
      </c>
      <c r="D544" s="138"/>
      <c r="E544" s="168"/>
      <c r="F544" s="76" t="s">
        <v>141</v>
      </c>
      <c r="G544" s="552" t="s">
        <v>923</v>
      </c>
      <c r="H544" s="87" t="s">
        <v>923</v>
      </c>
      <c r="I544" s="491"/>
      <c r="J544" s="87" t="s">
        <v>922</v>
      </c>
      <c r="K544" s="243">
        <v>0</v>
      </c>
    </row>
    <row r="545" spans="1:16" ht="15" customHeight="1" thickBot="1" x14ac:dyDescent="0.5">
      <c r="A545" s="650"/>
      <c r="B545" s="166" t="s">
        <v>582</v>
      </c>
      <c r="C545" s="129" t="str">
        <f>CONCATENATE("0x", DEC2HEX(4+HEX2DEC('inicio zonas'!$B$21)))</f>
        <v>0x134</v>
      </c>
      <c r="D545" s="138"/>
      <c r="E545" s="168"/>
      <c r="F545" s="76" t="s">
        <v>143</v>
      </c>
      <c r="G545" s="557" t="s">
        <v>923</v>
      </c>
      <c r="H545" s="267" t="s">
        <v>923</v>
      </c>
      <c r="I545" s="573"/>
      <c r="J545" s="267" t="s">
        <v>922</v>
      </c>
      <c r="K545" s="268">
        <v>0</v>
      </c>
    </row>
    <row r="546" spans="1:16" x14ac:dyDescent="0.45">
      <c r="H546" s="273"/>
      <c r="I546" s="25"/>
      <c r="P546" s="85"/>
    </row>
    <row r="547" spans="1:16" x14ac:dyDescent="0.45">
      <c r="H547" s="273"/>
      <c r="I547" s="25"/>
    </row>
    <row r="548" spans="1:16" x14ac:dyDescent="0.45">
      <c r="A548" s="639" t="s">
        <v>840</v>
      </c>
      <c r="B548" s="411"/>
      <c r="C548" s="56" t="str">
        <f>CONCATENATE("0x",DEC2HEX(HEX2DEC('inicio zonas'!$B$23)))</f>
        <v>0x140</v>
      </c>
      <c r="D548" s="418"/>
      <c r="E548" s="168"/>
      <c r="F548" s="83"/>
      <c r="G548" s="265"/>
      <c r="H548" s="560"/>
      <c r="I548" s="181"/>
      <c r="J548" s="58"/>
      <c r="K548" s="266"/>
    </row>
    <row r="549" spans="1:16" x14ac:dyDescent="0.45">
      <c r="A549" s="640"/>
      <c r="B549" s="56" t="s">
        <v>839</v>
      </c>
      <c r="C549" s="56" t="str">
        <f>CONCATENATE("0x",DEC2HEX(1+HEX2DEC('inicio zonas'!$B$23)))</f>
        <v>0x141</v>
      </c>
      <c r="D549" s="138"/>
      <c r="E549" s="168"/>
      <c r="F549" s="87" t="s">
        <v>841</v>
      </c>
      <c r="G549" s="552" t="s">
        <v>923</v>
      </c>
      <c r="H549" s="87" t="s">
        <v>923</v>
      </c>
      <c r="I549" s="491" t="s">
        <v>655</v>
      </c>
      <c r="J549" s="87" t="s">
        <v>921</v>
      </c>
      <c r="K549" s="243">
        <v>0</v>
      </c>
    </row>
    <row r="550" spans="1:16" x14ac:dyDescent="0.45">
      <c r="H550" s="273"/>
      <c r="I550" s="25"/>
    </row>
    <row r="551" spans="1:16" ht="15" customHeight="1" x14ac:dyDescent="0.45">
      <c r="A551" s="636" t="s">
        <v>865</v>
      </c>
      <c r="B551" s="356" t="s">
        <v>876</v>
      </c>
      <c r="C551" s="431" t="str">
        <f>CONCATENATE("0x",DEC2HEX(0+HEX2DEC('inicio zonas'!$B$24)))</f>
        <v>0x150</v>
      </c>
      <c r="D551" s="431"/>
      <c r="E551" s="52"/>
      <c r="F551" s="356"/>
      <c r="G551" s="501"/>
      <c r="H551" s="408"/>
      <c r="I551" s="572"/>
      <c r="J551" s="216"/>
      <c r="K551" s="312"/>
    </row>
    <row r="552" spans="1:16" x14ac:dyDescent="0.45">
      <c r="A552" s="637"/>
      <c r="B552" s="355">
        <v>0</v>
      </c>
      <c r="C552" s="28" t="s">
        <v>2</v>
      </c>
      <c r="D552" s="351" t="s">
        <v>875</v>
      </c>
      <c r="E552" s="42" t="str">
        <f t="shared" ref="E552:E567" si="65">CONCATENATE($C$568,DEC2HEX(B552))</f>
        <v>0x1510</v>
      </c>
      <c r="F552" s="425"/>
      <c r="G552" s="558" t="s">
        <v>923</v>
      </c>
      <c r="H552" s="427" t="s">
        <v>923</v>
      </c>
      <c r="I552" s="486" t="s">
        <v>655</v>
      </c>
      <c r="J552" s="427" t="s">
        <v>922</v>
      </c>
      <c r="K552" s="426">
        <v>0</v>
      </c>
    </row>
    <row r="553" spans="1:16" x14ac:dyDescent="0.45">
      <c r="A553" s="637"/>
      <c r="B553" s="355">
        <f>B552+1</f>
        <v>1</v>
      </c>
      <c r="C553" s="28" t="s">
        <v>4</v>
      </c>
      <c r="D553" s="351" t="s">
        <v>877</v>
      </c>
      <c r="E553" s="42" t="str">
        <f t="shared" si="65"/>
        <v>0x1511</v>
      </c>
      <c r="F553" s="432"/>
      <c r="G553" s="558" t="s">
        <v>923</v>
      </c>
      <c r="H553" s="427" t="s">
        <v>923</v>
      </c>
      <c r="I553" s="486" t="s">
        <v>655</v>
      </c>
      <c r="J553" s="427" t="s">
        <v>922</v>
      </c>
      <c r="K553" s="426">
        <v>0</v>
      </c>
    </row>
    <row r="554" spans="1:16" x14ac:dyDescent="0.45">
      <c r="A554" s="637"/>
      <c r="B554" s="355">
        <f t="shared" ref="B554:B567" si="66">B553+1</f>
        <v>2</v>
      </c>
      <c r="C554" s="28" t="s">
        <v>6</v>
      </c>
      <c r="D554" s="351"/>
      <c r="E554" s="42" t="str">
        <f t="shared" si="65"/>
        <v>0x1512</v>
      </c>
      <c r="F554" s="432"/>
      <c r="G554" s="558"/>
      <c r="H554" s="427"/>
      <c r="I554" s="486"/>
      <c r="J554" s="427"/>
      <c r="K554" s="428"/>
    </row>
    <row r="555" spans="1:16" x14ac:dyDescent="0.45">
      <c r="A555" s="637"/>
      <c r="B555" s="355">
        <f t="shared" si="66"/>
        <v>3</v>
      </c>
      <c r="C555" s="28" t="s">
        <v>7</v>
      </c>
      <c r="D555" s="351"/>
      <c r="E555" s="42" t="str">
        <f t="shared" si="65"/>
        <v>0x1513</v>
      </c>
      <c r="F555" s="432"/>
      <c r="G555" s="558"/>
      <c r="H555" s="427"/>
      <c r="I555" s="486"/>
      <c r="J555" s="427"/>
      <c r="K555" s="428"/>
    </row>
    <row r="556" spans="1:16" x14ac:dyDescent="0.45">
      <c r="A556" s="637"/>
      <c r="B556" s="355">
        <f t="shared" si="66"/>
        <v>4</v>
      </c>
      <c r="C556" s="28" t="s">
        <v>8</v>
      </c>
      <c r="D556" s="351"/>
      <c r="E556" s="42" t="str">
        <f t="shared" si="65"/>
        <v>0x1514</v>
      </c>
      <c r="F556" s="432"/>
      <c r="G556" s="558"/>
      <c r="H556" s="427"/>
      <c r="I556" s="486"/>
      <c r="J556" s="427"/>
      <c r="K556" s="428"/>
    </row>
    <row r="557" spans="1:16" x14ac:dyDescent="0.45">
      <c r="A557" s="637"/>
      <c r="B557" s="355">
        <f t="shared" si="66"/>
        <v>5</v>
      </c>
      <c r="C557" s="28" t="s">
        <v>9</v>
      </c>
      <c r="D557" s="351"/>
      <c r="E557" s="42" t="str">
        <f t="shared" si="65"/>
        <v>0x1515</v>
      </c>
      <c r="F557" s="432"/>
      <c r="G557" s="558"/>
      <c r="H557" s="427"/>
      <c r="I557" s="486"/>
      <c r="J557" s="427"/>
      <c r="K557" s="428"/>
    </row>
    <row r="558" spans="1:16" x14ac:dyDescent="0.45">
      <c r="A558" s="637"/>
      <c r="B558" s="355">
        <f t="shared" si="66"/>
        <v>6</v>
      </c>
      <c r="C558" s="28" t="s">
        <v>10</v>
      </c>
      <c r="D558" s="351"/>
      <c r="E558" s="42" t="str">
        <f t="shared" si="65"/>
        <v>0x1516</v>
      </c>
      <c r="F558" s="432"/>
      <c r="G558" s="558"/>
      <c r="H558" s="427"/>
      <c r="I558" s="486"/>
      <c r="J558" s="427"/>
      <c r="K558" s="428"/>
    </row>
    <row r="559" spans="1:16" x14ac:dyDescent="0.45">
      <c r="A559" s="637"/>
      <c r="B559" s="355">
        <f t="shared" si="66"/>
        <v>7</v>
      </c>
      <c r="C559" s="28" t="s">
        <v>12</v>
      </c>
      <c r="D559" s="351"/>
      <c r="E559" s="42" t="str">
        <f t="shared" si="65"/>
        <v>0x1517</v>
      </c>
      <c r="F559" s="432"/>
      <c r="G559" s="558"/>
      <c r="H559" s="427"/>
      <c r="I559" s="486"/>
      <c r="J559" s="427"/>
      <c r="K559" s="428"/>
    </row>
    <row r="560" spans="1:16" x14ac:dyDescent="0.45">
      <c r="A560" s="637"/>
      <c r="B560" s="355">
        <f t="shared" si="66"/>
        <v>8</v>
      </c>
      <c r="C560" s="28" t="s">
        <v>13</v>
      </c>
      <c r="D560" s="351"/>
      <c r="E560" s="42" t="str">
        <f t="shared" si="65"/>
        <v>0x1518</v>
      </c>
      <c r="F560" s="432"/>
      <c r="G560" s="558"/>
      <c r="H560" s="427"/>
      <c r="I560" s="486"/>
      <c r="J560" s="427"/>
      <c r="K560" s="426"/>
    </row>
    <row r="561" spans="1:13" x14ac:dyDescent="0.45">
      <c r="A561" s="637"/>
      <c r="B561" s="355">
        <f t="shared" si="66"/>
        <v>9</v>
      </c>
      <c r="C561" s="28" t="s">
        <v>14</v>
      </c>
      <c r="D561" s="351"/>
      <c r="E561" s="42" t="str">
        <f t="shared" si="65"/>
        <v>0x1519</v>
      </c>
      <c r="F561" s="432"/>
      <c r="G561" s="558"/>
      <c r="H561" s="427"/>
      <c r="I561" s="486"/>
      <c r="J561" s="427"/>
      <c r="K561" s="428"/>
    </row>
    <row r="562" spans="1:13" x14ac:dyDescent="0.45">
      <c r="A562" s="637"/>
      <c r="B562" s="355">
        <f t="shared" si="66"/>
        <v>10</v>
      </c>
      <c r="C562" s="28" t="s">
        <v>15</v>
      </c>
      <c r="D562" s="351"/>
      <c r="E562" s="42" t="str">
        <f t="shared" si="65"/>
        <v>0x151A</v>
      </c>
      <c r="F562" s="432"/>
      <c r="G562" s="558"/>
      <c r="H562" s="427"/>
      <c r="I562" s="486"/>
      <c r="J562" s="427"/>
      <c r="K562" s="428"/>
    </row>
    <row r="563" spans="1:13" x14ac:dyDescent="0.45">
      <c r="A563" s="637"/>
      <c r="B563" s="355">
        <f t="shared" si="66"/>
        <v>11</v>
      </c>
      <c r="C563" s="28" t="s">
        <v>16</v>
      </c>
      <c r="D563" s="351"/>
      <c r="E563" s="42" t="str">
        <f t="shared" si="65"/>
        <v>0x151B</v>
      </c>
      <c r="F563" s="432"/>
      <c r="G563" s="558"/>
      <c r="H563" s="427"/>
      <c r="I563" s="486"/>
      <c r="J563" s="427"/>
      <c r="K563" s="428"/>
    </row>
    <row r="564" spans="1:13" x14ac:dyDescent="0.45">
      <c r="A564" s="637"/>
      <c r="B564" s="355">
        <f t="shared" si="66"/>
        <v>12</v>
      </c>
      <c r="C564" s="28" t="s">
        <v>17</v>
      </c>
      <c r="D564" s="351"/>
      <c r="E564" s="42" t="str">
        <f t="shared" si="65"/>
        <v>0x151C</v>
      </c>
      <c r="F564" s="432"/>
      <c r="G564" s="558"/>
      <c r="H564" s="427"/>
      <c r="I564" s="486"/>
      <c r="J564" s="427"/>
      <c r="K564" s="428"/>
      <c r="M564" t="s">
        <v>884</v>
      </c>
    </row>
    <row r="565" spans="1:13" x14ac:dyDescent="0.45">
      <c r="A565" s="637"/>
      <c r="B565" s="355">
        <f t="shared" si="66"/>
        <v>13</v>
      </c>
      <c r="C565" s="28" t="s">
        <v>18</v>
      </c>
      <c r="D565" s="351"/>
      <c r="E565" s="42" t="str">
        <f t="shared" si="65"/>
        <v>0x151D</v>
      </c>
      <c r="F565" s="432"/>
      <c r="G565" s="558"/>
      <c r="H565" s="427"/>
      <c r="I565" s="486"/>
      <c r="J565" s="427"/>
      <c r="K565" s="428"/>
    </row>
    <row r="566" spans="1:13" x14ac:dyDescent="0.45">
      <c r="A566" s="637"/>
      <c r="B566" s="355">
        <f t="shared" si="66"/>
        <v>14</v>
      </c>
      <c r="C566" s="28" t="s">
        <v>19</v>
      </c>
      <c r="D566" s="351"/>
      <c r="E566" s="42" t="str">
        <f t="shared" si="65"/>
        <v>0x151E</v>
      </c>
      <c r="F566" s="432"/>
      <c r="G566" s="558"/>
      <c r="H566" s="427"/>
      <c r="I566" s="486"/>
      <c r="J566" s="427"/>
      <c r="K566" s="428"/>
    </row>
    <row r="567" spans="1:13" x14ac:dyDescent="0.45">
      <c r="A567" s="637"/>
      <c r="B567" s="45">
        <f t="shared" si="66"/>
        <v>15</v>
      </c>
      <c r="C567" s="46" t="s">
        <v>20</v>
      </c>
      <c r="D567" s="352"/>
      <c r="E567" s="48" t="str">
        <f t="shared" si="65"/>
        <v>0x151F</v>
      </c>
      <c r="F567" s="433"/>
      <c r="G567" s="559"/>
      <c r="H567" s="429"/>
      <c r="I567" s="487"/>
      <c r="J567" s="429"/>
      <c r="K567" s="430"/>
    </row>
    <row r="568" spans="1:13" x14ac:dyDescent="0.45">
      <c r="A568" s="637"/>
      <c r="B568" s="55" t="s">
        <v>854</v>
      </c>
      <c r="C568" s="56" t="str">
        <f>CONCATENATE("0x",DEC2HEX(1+HEX2DEC('inicio zonas'!$B$24)))</f>
        <v>0x151</v>
      </c>
      <c r="D568" s="58"/>
      <c r="E568" s="181"/>
      <c r="F568" s="55" t="s">
        <v>879</v>
      </c>
      <c r="G568" s="55" t="s">
        <v>923</v>
      </c>
      <c r="H568" s="87" t="s">
        <v>923</v>
      </c>
      <c r="I568" s="491" t="s">
        <v>655</v>
      </c>
      <c r="J568" s="87" t="s">
        <v>880</v>
      </c>
      <c r="K568" s="55">
        <v>0</v>
      </c>
    </row>
    <row r="569" spans="1:13" x14ac:dyDescent="0.45">
      <c r="A569" s="637"/>
      <c r="B569" s="273" t="s">
        <v>858</v>
      </c>
      <c r="C569" s="21" t="str">
        <f>CONCATENATE("0x",DEC2HEX(2+HEX2DEC('inicio zonas'!$B$24)))</f>
        <v>0x152</v>
      </c>
      <c r="G569" s="421"/>
      <c r="H569" s="273"/>
      <c r="I569" s="25"/>
      <c r="J569" s="21"/>
      <c r="K569" s="263"/>
    </row>
    <row r="570" spans="1:13" x14ac:dyDescent="0.45">
      <c r="A570" s="637"/>
      <c r="B570" s="355">
        <v>0</v>
      </c>
      <c r="C570" s="28" t="s">
        <v>2</v>
      </c>
      <c r="D570" s="630" t="s">
        <v>855</v>
      </c>
      <c r="E570" s="256" t="str">
        <f>CONCATENATE($C$569,DEC2HEX(B570))</f>
        <v>0x1520</v>
      </c>
      <c r="F570" s="632"/>
      <c r="G570" s="620" t="s">
        <v>923</v>
      </c>
      <c r="H570" s="617" t="s">
        <v>923</v>
      </c>
      <c r="I570" s="617" t="s">
        <v>655</v>
      </c>
      <c r="J570" s="617" t="s">
        <v>922</v>
      </c>
      <c r="K570" s="614">
        <v>0</v>
      </c>
    </row>
    <row r="571" spans="1:13" x14ac:dyDescent="0.45">
      <c r="A571" s="637"/>
      <c r="B571" s="355">
        <f>B570+1</f>
        <v>1</v>
      </c>
      <c r="C571" s="28" t="s">
        <v>4</v>
      </c>
      <c r="D571" s="630"/>
      <c r="E571" s="256" t="str">
        <f t="shared" ref="E571:E585" si="67">CONCATENATE($C$569,DEC2HEX(B571))</f>
        <v>0x1521</v>
      </c>
      <c r="F571" s="632"/>
      <c r="G571" s="621"/>
      <c r="H571" s="618"/>
      <c r="I571" s="618"/>
      <c r="J571" s="618"/>
      <c r="K571" s="628"/>
    </row>
    <row r="572" spans="1:13" x14ac:dyDescent="0.45">
      <c r="A572" s="637"/>
      <c r="B572" s="355">
        <f t="shared" ref="B572:B585" si="68">B571+1</f>
        <v>2</v>
      </c>
      <c r="C572" s="28" t="s">
        <v>6</v>
      </c>
      <c r="D572" s="630"/>
      <c r="E572" s="256" t="str">
        <f t="shared" si="67"/>
        <v>0x1522</v>
      </c>
      <c r="F572" s="632"/>
      <c r="G572" s="621"/>
      <c r="H572" s="618"/>
      <c r="I572" s="618"/>
      <c r="J572" s="618"/>
      <c r="K572" s="628"/>
    </row>
    <row r="573" spans="1:13" x14ac:dyDescent="0.45">
      <c r="A573" s="637"/>
      <c r="B573" s="355">
        <f t="shared" si="68"/>
        <v>3</v>
      </c>
      <c r="C573" s="28" t="s">
        <v>7</v>
      </c>
      <c r="D573" s="630"/>
      <c r="E573" s="256" t="str">
        <f t="shared" si="67"/>
        <v>0x1523</v>
      </c>
      <c r="F573" s="632"/>
      <c r="G573" s="621"/>
      <c r="H573" s="618"/>
      <c r="I573" s="618"/>
      <c r="J573" s="618"/>
      <c r="K573" s="628"/>
    </row>
    <row r="574" spans="1:13" x14ac:dyDescent="0.45">
      <c r="A574" s="637"/>
      <c r="B574" s="355">
        <f t="shared" si="68"/>
        <v>4</v>
      </c>
      <c r="C574" s="28" t="s">
        <v>8</v>
      </c>
      <c r="D574" s="630"/>
      <c r="E574" s="256" t="str">
        <f t="shared" si="67"/>
        <v>0x1524</v>
      </c>
      <c r="F574" s="632"/>
      <c r="G574" s="621"/>
      <c r="H574" s="618"/>
      <c r="I574" s="618"/>
      <c r="J574" s="618"/>
      <c r="K574" s="628"/>
    </row>
    <row r="575" spans="1:13" x14ac:dyDescent="0.45">
      <c r="A575" s="637"/>
      <c r="B575" s="355">
        <f t="shared" si="68"/>
        <v>5</v>
      </c>
      <c r="C575" s="28" t="s">
        <v>9</v>
      </c>
      <c r="D575" s="630"/>
      <c r="E575" s="256" t="str">
        <f t="shared" si="67"/>
        <v>0x1525</v>
      </c>
      <c r="F575" s="632"/>
      <c r="G575" s="621"/>
      <c r="H575" s="618"/>
      <c r="I575" s="618"/>
      <c r="J575" s="618"/>
      <c r="K575" s="628"/>
    </row>
    <row r="576" spans="1:13" x14ac:dyDescent="0.45">
      <c r="A576" s="637"/>
      <c r="B576" s="355">
        <f t="shared" si="68"/>
        <v>6</v>
      </c>
      <c r="C576" s="28" t="s">
        <v>10</v>
      </c>
      <c r="D576" s="630"/>
      <c r="E576" s="256" t="str">
        <f t="shared" si="67"/>
        <v>0x1526</v>
      </c>
      <c r="F576" s="632"/>
      <c r="G576" s="621"/>
      <c r="H576" s="618"/>
      <c r="I576" s="618"/>
      <c r="J576" s="618"/>
      <c r="K576" s="628"/>
    </row>
    <row r="577" spans="1:11" x14ac:dyDescent="0.45">
      <c r="A577" s="637"/>
      <c r="B577" s="355">
        <f t="shared" si="68"/>
        <v>7</v>
      </c>
      <c r="C577" s="28" t="s">
        <v>12</v>
      </c>
      <c r="D577" s="630"/>
      <c r="E577" s="256" t="str">
        <f t="shared" si="67"/>
        <v>0x1527</v>
      </c>
      <c r="F577" s="632"/>
      <c r="G577" s="622"/>
      <c r="H577" s="619"/>
      <c r="I577" s="619"/>
      <c r="J577" s="619"/>
      <c r="K577" s="629"/>
    </row>
    <row r="578" spans="1:11" x14ac:dyDescent="0.45">
      <c r="A578" s="637"/>
      <c r="B578" s="355">
        <f t="shared" si="68"/>
        <v>8</v>
      </c>
      <c r="C578" s="28" t="s">
        <v>13</v>
      </c>
      <c r="D578" s="630" t="s">
        <v>856</v>
      </c>
      <c r="E578" s="256" t="str">
        <f t="shared" si="67"/>
        <v>0x1528</v>
      </c>
      <c r="F578" s="632"/>
      <c r="G578" s="621" t="s">
        <v>923</v>
      </c>
      <c r="H578" s="618" t="s">
        <v>923</v>
      </c>
      <c r="I578" s="617" t="s">
        <v>655</v>
      </c>
      <c r="J578" s="618" t="s">
        <v>922</v>
      </c>
      <c r="K578" s="615">
        <v>0</v>
      </c>
    </row>
    <row r="579" spans="1:11" x14ac:dyDescent="0.45">
      <c r="A579" s="637"/>
      <c r="B579" s="355">
        <f t="shared" si="68"/>
        <v>9</v>
      </c>
      <c r="C579" s="28" t="s">
        <v>14</v>
      </c>
      <c r="D579" s="630"/>
      <c r="E579" s="256" t="str">
        <f t="shared" si="67"/>
        <v>0x1529</v>
      </c>
      <c r="F579" s="632"/>
      <c r="G579" s="621"/>
      <c r="H579" s="618"/>
      <c r="I579" s="618"/>
      <c r="J579" s="618"/>
      <c r="K579" s="628"/>
    </row>
    <row r="580" spans="1:11" x14ac:dyDescent="0.45">
      <c r="A580" s="637"/>
      <c r="B580" s="355">
        <f t="shared" si="68"/>
        <v>10</v>
      </c>
      <c r="C580" s="28" t="s">
        <v>15</v>
      </c>
      <c r="D580" s="630"/>
      <c r="E580" s="256" t="str">
        <f t="shared" si="67"/>
        <v>0x152A</v>
      </c>
      <c r="F580" s="632"/>
      <c r="G580" s="621"/>
      <c r="H580" s="618"/>
      <c r="I580" s="618"/>
      <c r="J580" s="618"/>
      <c r="K580" s="628"/>
    </row>
    <row r="581" spans="1:11" x14ac:dyDescent="0.45">
      <c r="A581" s="637"/>
      <c r="B581" s="355">
        <f t="shared" si="68"/>
        <v>11</v>
      </c>
      <c r="C581" s="28" t="s">
        <v>16</v>
      </c>
      <c r="D581" s="630"/>
      <c r="E581" s="256" t="str">
        <f t="shared" si="67"/>
        <v>0x152B</v>
      </c>
      <c r="F581" s="632"/>
      <c r="G581" s="621"/>
      <c r="H581" s="618"/>
      <c r="I581" s="618"/>
      <c r="J581" s="618"/>
      <c r="K581" s="628"/>
    </row>
    <row r="582" spans="1:11" x14ac:dyDescent="0.45">
      <c r="A582" s="637"/>
      <c r="B582" s="355">
        <f t="shared" si="68"/>
        <v>12</v>
      </c>
      <c r="C582" s="28" t="s">
        <v>17</v>
      </c>
      <c r="D582" s="630"/>
      <c r="E582" s="256" t="str">
        <f t="shared" si="67"/>
        <v>0x152C</v>
      </c>
      <c r="F582" s="632"/>
      <c r="G582" s="621"/>
      <c r="H582" s="618"/>
      <c r="I582" s="618"/>
      <c r="J582" s="618"/>
      <c r="K582" s="628"/>
    </row>
    <row r="583" spans="1:11" x14ac:dyDescent="0.45">
      <c r="A583" s="637"/>
      <c r="B583" s="355">
        <f t="shared" si="68"/>
        <v>13</v>
      </c>
      <c r="C583" s="28" t="s">
        <v>18</v>
      </c>
      <c r="D583" s="630"/>
      <c r="E583" s="256" t="str">
        <f t="shared" si="67"/>
        <v>0x152D</v>
      </c>
      <c r="F583" s="632"/>
      <c r="G583" s="621"/>
      <c r="H583" s="618"/>
      <c r="I583" s="618"/>
      <c r="J583" s="618"/>
      <c r="K583" s="628"/>
    </row>
    <row r="584" spans="1:11" x14ac:dyDescent="0.45">
      <c r="A584" s="637"/>
      <c r="B584" s="355">
        <f t="shared" si="68"/>
        <v>14</v>
      </c>
      <c r="C584" s="28" t="s">
        <v>19</v>
      </c>
      <c r="D584" s="630"/>
      <c r="E584" s="256" t="str">
        <f t="shared" si="67"/>
        <v>0x152E</v>
      </c>
      <c r="F584" s="632"/>
      <c r="G584" s="621"/>
      <c r="H584" s="618"/>
      <c r="I584" s="618"/>
      <c r="J584" s="618"/>
      <c r="K584" s="628"/>
    </row>
    <row r="585" spans="1:11" x14ac:dyDescent="0.45">
      <c r="A585" s="637"/>
      <c r="B585" s="45">
        <f t="shared" si="68"/>
        <v>15</v>
      </c>
      <c r="C585" s="46" t="s">
        <v>20</v>
      </c>
      <c r="D585" s="631"/>
      <c r="E585" s="226" t="str">
        <f t="shared" si="67"/>
        <v>0x152F</v>
      </c>
      <c r="F585" s="632"/>
      <c r="G585" s="622"/>
      <c r="H585" s="619"/>
      <c r="I585" s="619"/>
      <c r="J585" s="619"/>
      <c r="K585" s="629"/>
    </row>
    <row r="586" spans="1:11" x14ac:dyDescent="0.45">
      <c r="A586" s="637"/>
      <c r="B586" s="356" t="s">
        <v>857</v>
      </c>
      <c r="C586" s="21" t="str">
        <f>CONCATENATE("0x",DEC2HEX(3+HEX2DEC('inicio zonas'!$B$24)))</f>
        <v>0x153</v>
      </c>
      <c r="G586" s="421"/>
      <c r="H586" s="273"/>
      <c r="I586" s="25"/>
      <c r="J586" s="21"/>
      <c r="K586" s="263"/>
    </row>
    <row r="587" spans="1:11" x14ac:dyDescent="0.45">
      <c r="A587" s="637"/>
      <c r="B587" s="355">
        <v>0</v>
      </c>
      <c r="C587" s="28" t="s">
        <v>2</v>
      </c>
      <c r="D587" s="626" t="s">
        <v>859</v>
      </c>
      <c r="E587" s="256" t="str">
        <f>CONCATENATE($C$586,DEC2HEX(B587))</f>
        <v>0x1530</v>
      </c>
      <c r="F587" s="623"/>
      <c r="G587" s="620" t="s">
        <v>923</v>
      </c>
      <c r="H587" s="617" t="s">
        <v>923</v>
      </c>
      <c r="I587" s="617" t="s">
        <v>655</v>
      </c>
      <c r="J587" s="617" t="s">
        <v>922</v>
      </c>
      <c r="K587" s="614">
        <v>0</v>
      </c>
    </row>
    <row r="588" spans="1:11" x14ac:dyDescent="0.45">
      <c r="A588" s="637"/>
      <c r="B588" s="355">
        <f>B587+1</f>
        <v>1</v>
      </c>
      <c r="C588" s="28" t="s">
        <v>4</v>
      </c>
      <c r="D588" s="626"/>
      <c r="E588" s="256" t="str">
        <f t="shared" ref="E588:E602" si="69">CONCATENATE($C$586,DEC2HEX(B588))</f>
        <v>0x1531</v>
      </c>
      <c r="F588" s="624"/>
      <c r="G588" s="621"/>
      <c r="H588" s="618"/>
      <c r="I588" s="618"/>
      <c r="J588" s="618"/>
      <c r="K588" s="615"/>
    </row>
    <row r="589" spans="1:11" x14ac:dyDescent="0.45">
      <c r="A589" s="637"/>
      <c r="B589" s="355">
        <f t="shared" ref="B589:B602" si="70">B588+1</f>
        <v>2</v>
      </c>
      <c r="C589" s="28" t="s">
        <v>6</v>
      </c>
      <c r="D589" s="626"/>
      <c r="E589" s="256" t="str">
        <f t="shared" si="69"/>
        <v>0x1532</v>
      </c>
      <c r="F589" s="624"/>
      <c r="G589" s="621"/>
      <c r="H589" s="618"/>
      <c r="I589" s="618"/>
      <c r="J589" s="618"/>
      <c r="K589" s="615"/>
    </row>
    <row r="590" spans="1:11" x14ac:dyDescent="0.45">
      <c r="A590" s="637"/>
      <c r="B590" s="355">
        <f t="shared" si="70"/>
        <v>3</v>
      </c>
      <c r="C590" s="28" t="s">
        <v>7</v>
      </c>
      <c r="D590" s="626"/>
      <c r="E590" s="256" t="str">
        <f t="shared" si="69"/>
        <v>0x1533</v>
      </c>
      <c r="F590" s="624"/>
      <c r="G590" s="621"/>
      <c r="H590" s="618"/>
      <c r="I590" s="618"/>
      <c r="J590" s="618"/>
      <c r="K590" s="615"/>
    </row>
    <row r="591" spans="1:11" x14ac:dyDescent="0.45">
      <c r="A591" s="637"/>
      <c r="B591" s="355">
        <f t="shared" si="70"/>
        <v>4</v>
      </c>
      <c r="C591" s="28" t="s">
        <v>8</v>
      </c>
      <c r="D591" s="626"/>
      <c r="E591" s="256" t="str">
        <f t="shared" si="69"/>
        <v>0x1534</v>
      </c>
      <c r="F591" s="624"/>
      <c r="G591" s="621"/>
      <c r="H591" s="618"/>
      <c r="I591" s="618"/>
      <c r="J591" s="618"/>
      <c r="K591" s="615"/>
    </row>
    <row r="592" spans="1:11" x14ac:dyDescent="0.45">
      <c r="A592" s="637"/>
      <c r="B592" s="355">
        <f t="shared" si="70"/>
        <v>5</v>
      </c>
      <c r="C592" s="28" t="s">
        <v>9</v>
      </c>
      <c r="D592" s="626"/>
      <c r="E592" s="256" t="str">
        <f t="shared" si="69"/>
        <v>0x1535</v>
      </c>
      <c r="F592" s="624"/>
      <c r="G592" s="621"/>
      <c r="H592" s="618"/>
      <c r="I592" s="618"/>
      <c r="J592" s="618"/>
      <c r="K592" s="615"/>
    </row>
    <row r="593" spans="1:11" x14ac:dyDescent="0.45">
      <c r="A593" s="637"/>
      <c r="B593" s="355">
        <f t="shared" si="70"/>
        <v>6</v>
      </c>
      <c r="C593" s="28" t="s">
        <v>10</v>
      </c>
      <c r="D593" s="626"/>
      <c r="E593" s="256" t="str">
        <f t="shared" si="69"/>
        <v>0x1536</v>
      </c>
      <c r="F593" s="624"/>
      <c r="G593" s="621"/>
      <c r="H593" s="618"/>
      <c r="I593" s="618"/>
      <c r="J593" s="618"/>
      <c r="K593" s="615"/>
    </row>
    <row r="594" spans="1:11" x14ac:dyDescent="0.45">
      <c r="A594" s="637"/>
      <c r="B594" s="355">
        <f t="shared" si="70"/>
        <v>7</v>
      </c>
      <c r="C594" s="28" t="s">
        <v>12</v>
      </c>
      <c r="D594" s="626"/>
      <c r="E594" s="256" t="str">
        <f t="shared" si="69"/>
        <v>0x1537</v>
      </c>
      <c r="F594" s="625"/>
      <c r="G594" s="622"/>
      <c r="H594" s="619"/>
      <c r="I594" s="619"/>
      <c r="J594" s="619"/>
      <c r="K594" s="616"/>
    </row>
    <row r="595" spans="1:11" x14ac:dyDescent="0.45">
      <c r="A595" s="637"/>
      <c r="B595" s="355">
        <f t="shared" si="70"/>
        <v>8</v>
      </c>
      <c r="C595" s="28" t="s">
        <v>13</v>
      </c>
      <c r="D595" s="626" t="s">
        <v>860</v>
      </c>
      <c r="E595" s="256" t="str">
        <f t="shared" si="69"/>
        <v>0x1538</v>
      </c>
      <c r="F595" s="623"/>
      <c r="G595" s="620" t="s">
        <v>923</v>
      </c>
      <c r="H595" s="617" t="s">
        <v>923</v>
      </c>
      <c r="I595" s="617" t="s">
        <v>655</v>
      </c>
      <c r="J595" s="617" t="s">
        <v>922</v>
      </c>
      <c r="K595" s="614">
        <v>0</v>
      </c>
    </row>
    <row r="596" spans="1:11" x14ac:dyDescent="0.45">
      <c r="A596" s="637"/>
      <c r="B596" s="355">
        <f t="shared" si="70"/>
        <v>9</v>
      </c>
      <c r="C596" s="28" t="s">
        <v>14</v>
      </c>
      <c r="D596" s="626"/>
      <c r="E596" s="256" t="str">
        <f t="shared" si="69"/>
        <v>0x1539</v>
      </c>
      <c r="F596" s="624"/>
      <c r="G596" s="621"/>
      <c r="H596" s="618"/>
      <c r="I596" s="618"/>
      <c r="J596" s="618"/>
      <c r="K596" s="615"/>
    </row>
    <row r="597" spans="1:11" x14ac:dyDescent="0.45">
      <c r="A597" s="637"/>
      <c r="B597" s="355">
        <f t="shared" si="70"/>
        <v>10</v>
      </c>
      <c r="C597" s="28" t="s">
        <v>15</v>
      </c>
      <c r="D597" s="626"/>
      <c r="E597" s="256" t="str">
        <f t="shared" si="69"/>
        <v>0x153A</v>
      </c>
      <c r="F597" s="624"/>
      <c r="G597" s="621"/>
      <c r="H597" s="618"/>
      <c r="I597" s="618"/>
      <c r="J597" s="618"/>
      <c r="K597" s="615"/>
    </row>
    <row r="598" spans="1:11" x14ac:dyDescent="0.45">
      <c r="A598" s="637"/>
      <c r="B598" s="355">
        <f t="shared" si="70"/>
        <v>11</v>
      </c>
      <c r="C598" s="28" t="s">
        <v>16</v>
      </c>
      <c r="D598" s="626"/>
      <c r="E598" s="256" t="str">
        <f t="shared" si="69"/>
        <v>0x153B</v>
      </c>
      <c r="F598" s="624"/>
      <c r="G598" s="621"/>
      <c r="H598" s="618"/>
      <c r="I598" s="618"/>
      <c r="J598" s="618"/>
      <c r="K598" s="615"/>
    </row>
    <row r="599" spans="1:11" x14ac:dyDescent="0.45">
      <c r="A599" s="637"/>
      <c r="B599" s="355">
        <f t="shared" si="70"/>
        <v>12</v>
      </c>
      <c r="C599" s="28" t="s">
        <v>17</v>
      </c>
      <c r="D599" s="626"/>
      <c r="E599" s="256" t="str">
        <f t="shared" si="69"/>
        <v>0x153C</v>
      </c>
      <c r="F599" s="624"/>
      <c r="G599" s="621"/>
      <c r="H599" s="618"/>
      <c r="I599" s="618"/>
      <c r="J599" s="618"/>
      <c r="K599" s="615"/>
    </row>
    <row r="600" spans="1:11" x14ac:dyDescent="0.45">
      <c r="A600" s="637"/>
      <c r="B600" s="355">
        <f t="shared" si="70"/>
        <v>13</v>
      </c>
      <c r="C600" s="28" t="s">
        <v>18</v>
      </c>
      <c r="D600" s="626"/>
      <c r="E600" s="256" t="str">
        <f t="shared" si="69"/>
        <v>0x153D</v>
      </c>
      <c r="F600" s="624"/>
      <c r="G600" s="621"/>
      <c r="H600" s="618"/>
      <c r="I600" s="618"/>
      <c r="J600" s="618"/>
      <c r="K600" s="615"/>
    </row>
    <row r="601" spans="1:11" x14ac:dyDescent="0.45">
      <c r="A601" s="637"/>
      <c r="B601" s="355">
        <f t="shared" si="70"/>
        <v>14</v>
      </c>
      <c r="C601" s="28" t="s">
        <v>19</v>
      </c>
      <c r="D601" s="626"/>
      <c r="E601" s="256" t="str">
        <f t="shared" si="69"/>
        <v>0x153E</v>
      </c>
      <c r="F601" s="624"/>
      <c r="G601" s="621"/>
      <c r="H601" s="618"/>
      <c r="I601" s="618"/>
      <c r="J601" s="618"/>
      <c r="K601" s="615"/>
    </row>
    <row r="602" spans="1:11" x14ac:dyDescent="0.45">
      <c r="A602" s="637"/>
      <c r="B602" s="45">
        <f t="shared" si="70"/>
        <v>15</v>
      </c>
      <c r="C602" s="46" t="s">
        <v>20</v>
      </c>
      <c r="D602" s="627"/>
      <c r="E602" s="256" t="str">
        <f t="shared" si="69"/>
        <v>0x153F</v>
      </c>
      <c r="F602" s="625"/>
      <c r="G602" s="622"/>
      <c r="H602" s="619"/>
      <c r="I602" s="619"/>
      <c r="J602" s="619"/>
      <c r="K602" s="616"/>
    </row>
    <row r="603" spans="1:11" x14ac:dyDescent="0.45">
      <c r="A603" s="637"/>
      <c r="B603" s="356" t="s">
        <v>861</v>
      </c>
      <c r="C603" s="21" t="str">
        <f>CONCATENATE("0x",DEC2HEX(4+HEX2DEC('inicio zonas'!$B$24)))</f>
        <v>0x154</v>
      </c>
      <c r="E603" s="420"/>
      <c r="G603" s="421"/>
      <c r="H603" s="273"/>
      <c r="I603" s="25"/>
      <c r="J603" s="21"/>
      <c r="K603" s="263"/>
    </row>
    <row r="604" spans="1:11" x14ac:dyDescent="0.45">
      <c r="A604" s="637"/>
      <c r="B604" s="355">
        <v>0</v>
      </c>
      <c r="C604" s="28" t="s">
        <v>2</v>
      </c>
      <c r="D604" s="626" t="s">
        <v>852</v>
      </c>
      <c r="E604" s="256" t="str">
        <f>CONCATENATE($C$603,DEC2HEX(B604))</f>
        <v>0x1540</v>
      </c>
      <c r="F604" s="623"/>
      <c r="G604" s="620" t="s">
        <v>923</v>
      </c>
      <c r="H604" s="617" t="s">
        <v>923</v>
      </c>
      <c r="I604" s="617" t="s">
        <v>655</v>
      </c>
      <c r="J604" s="617" t="s">
        <v>922</v>
      </c>
      <c r="K604" s="614">
        <v>0</v>
      </c>
    </row>
    <row r="605" spans="1:11" x14ac:dyDescent="0.45">
      <c r="A605" s="637"/>
      <c r="B605" s="355">
        <f>B604+1</f>
        <v>1</v>
      </c>
      <c r="C605" s="28" t="s">
        <v>4</v>
      </c>
      <c r="D605" s="626"/>
      <c r="E605" s="256" t="str">
        <f t="shared" ref="E605:E619" si="71">CONCATENATE($C$603,DEC2HEX(B605))</f>
        <v>0x1541</v>
      </c>
      <c r="F605" s="624"/>
      <c r="G605" s="621"/>
      <c r="H605" s="618"/>
      <c r="I605" s="618"/>
      <c r="J605" s="618"/>
      <c r="K605" s="615"/>
    </row>
    <row r="606" spans="1:11" x14ac:dyDescent="0.45">
      <c r="A606" s="637"/>
      <c r="B606" s="355">
        <f t="shared" ref="B606:B619" si="72">B605+1</f>
        <v>2</v>
      </c>
      <c r="C606" s="28" t="s">
        <v>6</v>
      </c>
      <c r="D606" s="626"/>
      <c r="E606" s="256" t="str">
        <f t="shared" si="71"/>
        <v>0x1542</v>
      </c>
      <c r="F606" s="624"/>
      <c r="G606" s="621"/>
      <c r="H606" s="618"/>
      <c r="I606" s="618"/>
      <c r="J606" s="618"/>
      <c r="K606" s="615"/>
    </row>
    <row r="607" spans="1:11" x14ac:dyDescent="0.45">
      <c r="A607" s="637"/>
      <c r="B607" s="355">
        <f t="shared" si="72"/>
        <v>3</v>
      </c>
      <c r="C607" s="28" t="s">
        <v>7</v>
      </c>
      <c r="D607" s="626"/>
      <c r="E607" s="256" t="str">
        <f t="shared" si="71"/>
        <v>0x1543</v>
      </c>
      <c r="F607" s="624"/>
      <c r="G607" s="621"/>
      <c r="H607" s="618"/>
      <c r="I607" s="618"/>
      <c r="J607" s="618"/>
      <c r="K607" s="615"/>
    </row>
    <row r="608" spans="1:11" x14ac:dyDescent="0.45">
      <c r="A608" s="637"/>
      <c r="B608" s="355">
        <f t="shared" si="72"/>
        <v>4</v>
      </c>
      <c r="C608" s="28" t="s">
        <v>8</v>
      </c>
      <c r="D608" s="626"/>
      <c r="E608" s="256" t="str">
        <f t="shared" si="71"/>
        <v>0x1544</v>
      </c>
      <c r="F608" s="624"/>
      <c r="G608" s="621"/>
      <c r="H608" s="618"/>
      <c r="I608" s="618"/>
      <c r="J608" s="618"/>
      <c r="K608" s="615"/>
    </row>
    <row r="609" spans="1:11" x14ac:dyDescent="0.45">
      <c r="A609" s="637"/>
      <c r="B609" s="355">
        <f t="shared" si="72"/>
        <v>5</v>
      </c>
      <c r="C609" s="28" t="s">
        <v>9</v>
      </c>
      <c r="D609" s="626"/>
      <c r="E609" s="256" t="str">
        <f t="shared" si="71"/>
        <v>0x1545</v>
      </c>
      <c r="F609" s="624"/>
      <c r="G609" s="621"/>
      <c r="H609" s="618"/>
      <c r="I609" s="618"/>
      <c r="J609" s="618"/>
      <c r="K609" s="615"/>
    </row>
    <row r="610" spans="1:11" x14ac:dyDescent="0.45">
      <c r="A610" s="637"/>
      <c r="B610" s="355">
        <f t="shared" si="72"/>
        <v>6</v>
      </c>
      <c r="C610" s="28" t="s">
        <v>10</v>
      </c>
      <c r="D610" s="626"/>
      <c r="E610" s="256" t="str">
        <f t="shared" si="71"/>
        <v>0x1546</v>
      </c>
      <c r="F610" s="624"/>
      <c r="G610" s="621"/>
      <c r="H610" s="618"/>
      <c r="I610" s="618"/>
      <c r="J610" s="618"/>
      <c r="K610" s="615"/>
    </row>
    <row r="611" spans="1:11" x14ac:dyDescent="0.45">
      <c r="A611" s="637"/>
      <c r="B611" s="355">
        <f t="shared" si="72"/>
        <v>7</v>
      </c>
      <c r="C611" s="28" t="s">
        <v>12</v>
      </c>
      <c r="D611" s="626"/>
      <c r="E611" s="256" t="str">
        <f t="shared" si="71"/>
        <v>0x1547</v>
      </c>
      <c r="F611" s="625"/>
      <c r="G611" s="622"/>
      <c r="H611" s="619"/>
      <c r="I611" s="619"/>
      <c r="J611" s="619"/>
      <c r="K611" s="616"/>
    </row>
    <row r="612" spans="1:11" x14ac:dyDescent="0.45">
      <c r="A612" s="637"/>
      <c r="B612" s="355">
        <f t="shared" si="72"/>
        <v>8</v>
      </c>
      <c r="C612" s="28" t="s">
        <v>13</v>
      </c>
      <c r="D612" s="626" t="s">
        <v>853</v>
      </c>
      <c r="E612" s="256" t="str">
        <f t="shared" si="71"/>
        <v>0x1548</v>
      </c>
      <c r="F612" s="623"/>
      <c r="G612" s="620" t="s">
        <v>923</v>
      </c>
      <c r="H612" s="617" t="s">
        <v>923</v>
      </c>
      <c r="I612" s="617" t="s">
        <v>655</v>
      </c>
      <c r="J612" s="617" t="s">
        <v>922</v>
      </c>
      <c r="K612" s="614">
        <v>0</v>
      </c>
    </row>
    <row r="613" spans="1:11" x14ac:dyDescent="0.45">
      <c r="A613" s="637"/>
      <c r="B613" s="355">
        <f t="shared" si="72"/>
        <v>9</v>
      </c>
      <c r="C613" s="28" t="s">
        <v>14</v>
      </c>
      <c r="D613" s="626"/>
      <c r="E613" s="256" t="str">
        <f t="shared" si="71"/>
        <v>0x1549</v>
      </c>
      <c r="F613" s="624"/>
      <c r="G613" s="621"/>
      <c r="H613" s="618"/>
      <c r="I613" s="618"/>
      <c r="J613" s="618"/>
      <c r="K613" s="615"/>
    </row>
    <row r="614" spans="1:11" x14ac:dyDescent="0.45">
      <c r="A614" s="637"/>
      <c r="B614" s="355">
        <f t="shared" si="72"/>
        <v>10</v>
      </c>
      <c r="C614" s="28" t="s">
        <v>15</v>
      </c>
      <c r="D614" s="626"/>
      <c r="E614" s="256" t="str">
        <f t="shared" si="71"/>
        <v>0x154A</v>
      </c>
      <c r="F614" s="624"/>
      <c r="G614" s="621"/>
      <c r="H614" s="618"/>
      <c r="I614" s="618"/>
      <c r="J614" s="618"/>
      <c r="K614" s="615"/>
    </row>
    <row r="615" spans="1:11" x14ac:dyDescent="0.45">
      <c r="A615" s="637"/>
      <c r="B615" s="355">
        <f t="shared" si="72"/>
        <v>11</v>
      </c>
      <c r="C615" s="28" t="s">
        <v>16</v>
      </c>
      <c r="D615" s="626"/>
      <c r="E615" s="256" t="str">
        <f t="shared" si="71"/>
        <v>0x154B</v>
      </c>
      <c r="F615" s="624"/>
      <c r="G615" s="621"/>
      <c r="H615" s="618"/>
      <c r="I615" s="618"/>
      <c r="J615" s="618"/>
      <c r="K615" s="615"/>
    </row>
    <row r="616" spans="1:11" x14ac:dyDescent="0.45">
      <c r="A616" s="637"/>
      <c r="B616" s="355">
        <f t="shared" si="72"/>
        <v>12</v>
      </c>
      <c r="C616" s="28" t="s">
        <v>17</v>
      </c>
      <c r="D616" s="626"/>
      <c r="E616" s="256" t="str">
        <f t="shared" si="71"/>
        <v>0x154C</v>
      </c>
      <c r="F616" s="624"/>
      <c r="G616" s="621"/>
      <c r="H616" s="618"/>
      <c r="I616" s="618"/>
      <c r="J616" s="618"/>
      <c r="K616" s="615"/>
    </row>
    <row r="617" spans="1:11" x14ac:dyDescent="0.45">
      <c r="A617" s="637"/>
      <c r="B617" s="355">
        <f t="shared" si="72"/>
        <v>13</v>
      </c>
      <c r="C617" s="28" t="s">
        <v>18</v>
      </c>
      <c r="D617" s="626"/>
      <c r="E617" s="256" t="str">
        <f t="shared" si="71"/>
        <v>0x154D</v>
      </c>
      <c r="F617" s="624"/>
      <c r="G617" s="621"/>
      <c r="H617" s="618"/>
      <c r="I617" s="618"/>
      <c r="J617" s="618"/>
      <c r="K617" s="615"/>
    </row>
    <row r="618" spans="1:11" x14ac:dyDescent="0.45">
      <c r="A618" s="637"/>
      <c r="B618" s="355">
        <f t="shared" si="72"/>
        <v>14</v>
      </c>
      <c r="C618" s="28" t="s">
        <v>19</v>
      </c>
      <c r="D618" s="626"/>
      <c r="E618" s="256" t="str">
        <f t="shared" si="71"/>
        <v>0x154E</v>
      </c>
      <c r="F618" s="624"/>
      <c r="G618" s="621"/>
      <c r="H618" s="618"/>
      <c r="I618" s="618"/>
      <c r="J618" s="618"/>
      <c r="K618" s="615"/>
    </row>
    <row r="619" spans="1:11" x14ac:dyDescent="0.45">
      <c r="A619" s="638"/>
      <c r="B619" s="45">
        <f t="shared" si="72"/>
        <v>15</v>
      </c>
      <c r="C619" s="46" t="s">
        <v>20</v>
      </c>
      <c r="D619" s="627"/>
      <c r="E619" s="226" t="str">
        <f t="shared" si="71"/>
        <v>0x154F</v>
      </c>
      <c r="F619" s="625"/>
      <c r="G619" s="622"/>
      <c r="H619" s="619"/>
      <c r="I619" s="619"/>
      <c r="J619" s="619"/>
      <c r="K619" s="616"/>
    </row>
  </sheetData>
  <mergeCells count="85">
    <mergeCell ref="A378:A394"/>
    <mergeCell ref="H387:H394"/>
    <mergeCell ref="H404:H411"/>
    <mergeCell ref="H421:H428"/>
    <mergeCell ref="H438:H445"/>
    <mergeCell ref="A4:A142"/>
    <mergeCell ref="G438:G445"/>
    <mergeCell ref="J438:J445"/>
    <mergeCell ref="K438:K445"/>
    <mergeCell ref="G387:G394"/>
    <mergeCell ref="D387:D394"/>
    <mergeCell ref="F387:F394"/>
    <mergeCell ref="A329:A352"/>
    <mergeCell ref="A288:A306"/>
    <mergeCell ref="A146:A162"/>
    <mergeCell ref="A165:A194"/>
    <mergeCell ref="A241:A285"/>
    <mergeCell ref="A197:A238"/>
    <mergeCell ref="A308:A326"/>
    <mergeCell ref="A355:A356"/>
    <mergeCell ref="A359:A375"/>
    <mergeCell ref="A551:A619"/>
    <mergeCell ref="A548:A549"/>
    <mergeCell ref="D438:D445"/>
    <mergeCell ref="F438:F445"/>
    <mergeCell ref="A395:A411"/>
    <mergeCell ref="A412:A428"/>
    <mergeCell ref="A429:A445"/>
    <mergeCell ref="D404:D411"/>
    <mergeCell ref="F404:F411"/>
    <mergeCell ref="D421:D428"/>
    <mergeCell ref="F421:F428"/>
    <mergeCell ref="F604:F611"/>
    <mergeCell ref="D604:D611"/>
    <mergeCell ref="A525:A545"/>
    <mergeCell ref="A448:A522"/>
    <mergeCell ref="G2:K2"/>
    <mergeCell ref="K404:K411"/>
    <mergeCell ref="G421:G428"/>
    <mergeCell ref="J421:J428"/>
    <mergeCell ref="K421:K428"/>
    <mergeCell ref="J387:J394"/>
    <mergeCell ref="G404:G411"/>
    <mergeCell ref="J404:J411"/>
    <mergeCell ref="K387:K394"/>
    <mergeCell ref="D587:D594"/>
    <mergeCell ref="H604:H611"/>
    <mergeCell ref="I604:I611"/>
    <mergeCell ref="I612:I619"/>
    <mergeCell ref="K570:K577"/>
    <mergeCell ref="D578:D585"/>
    <mergeCell ref="F578:F585"/>
    <mergeCell ref="G578:G585"/>
    <mergeCell ref="J578:J585"/>
    <mergeCell ref="K578:K585"/>
    <mergeCell ref="D570:D577"/>
    <mergeCell ref="F570:F577"/>
    <mergeCell ref="G570:G577"/>
    <mergeCell ref="H570:H577"/>
    <mergeCell ref="H578:H585"/>
    <mergeCell ref="I570:I577"/>
    <mergeCell ref="H612:H619"/>
    <mergeCell ref="J570:J577"/>
    <mergeCell ref="I587:I594"/>
    <mergeCell ref="G604:G611"/>
    <mergeCell ref="F587:F594"/>
    <mergeCell ref="I578:I585"/>
    <mergeCell ref="F595:F602"/>
    <mergeCell ref="D595:D602"/>
    <mergeCell ref="G612:G619"/>
    <mergeCell ref="F612:F619"/>
    <mergeCell ref="D612:D619"/>
    <mergeCell ref="G587:G594"/>
    <mergeCell ref="H587:H594"/>
    <mergeCell ref="H595:H602"/>
    <mergeCell ref="I595:I602"/>
    <mergeCell ref="K595:K602"/>
    <mergeCell ref="J595:J602"/>
    <mergeCell ref="G595:G602"/>
    <mergeCell ref="K604:K611"/>
    <mergeCell ref="J604:J611"/>
    <mergeCell ref="K612:K619"/>
    <mergeCell ref="J612:J619"/>
    <mergeCell ref="K587:K594"/>
    <mergeCell ref="J587:J594"/>
  </mergeCells>
  <pageMargins left="0" right="0" top="0" bottom="0" header="0.31496062992125984" footer="0.31496062992125984"/>
  <pageSetup paperSize="9" scale="51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X856"/>
  <sheetViews>
    <sheetView tabSelected="1" topLeftCell="A613" zoomScale="91" zoomScaleNormal="91" workbookViewId="0">
      <selection activeCell="B682" sqref="B682"/>
    </sheetView>
  </sheetViews>
  <sheetFormatPr baseColWidth="10" defaultRowHeight="14.25" x14ac:dyDescent="0.45"/>
  <cols>
    <col min="2" max="2" width="36.86328125" style="145" customWidth="1"/>
    <col min="3" max="3" width="8.73046875" style="145" customWidth="1"/>
    <col min="4" max="4" width="41.1328125" style="145" customWidth="1"/>
    <col min="5" max="5" width="8.59765625" style="145" customWidth="1"/>
    <col min="6" max="6" width="56.73046875" style="145" customWidth="1"/>
    <col min="7" max="8" width="16.59765625" style="145" customWidth="1"/>
    <col min="9" max="9" width="12.59765625" style="600" customWidth="1"/>
    <col min="10" max="11" width="9.59765625" style="146" customWidth="1"/>
    <col min="12" max="12" width="10" style="146" customWidth="1"/>
    <col min="13" max="13" width="6.73046875" customWidth="1"/>
    <col min="14" max="14" width="16" customWidth="1"/>
    <col min="15" max="16" width="15.3984375" customWidth="1"/>
    <col min="17" max="17" width="14.1328125" customWidth="1"/>
    <col min="19" max="19" width="13.3984375" customWidth="1"/>
    <col min="20" max="20" width="13.265625" customWidth="1"/>
  </cols>
  <sheetData>
    <row r="1" spans="1:17" ht="61.15" x14ac:dyDescent="1.75">
      <c r="A1" s="220" t="s">
        <v>932</v>
      </c>
      <c r="B1" s="119"/>
      <c r="C1" s="119"/>
      <c r="D1" s="119"/>
      <c r="E1" s="458" t="s">
        <v>927</v>
      </c>
      <c r="F1" s="119"/>
      <c r="G1" s="119"/>
      <c r="H1" s="119"/>
      <c r="I1" s="123"/>
      <c r="J1" s="120"/>
      <c r="K1" s="120"/>
      <c r="L1" s="120"/>
      <c r="M1" s="21"/>
    </row>
    <row r="2" spans="1:17" ht="15.95" customHeight="1" thickBot="1" x14ac:dyDescent="1.4">
      <c r="A2" s="220"/>
      <c r="B2" s="119"/>
      <c r="C2" s="119"/>
      <c r="D2" s="119"/>
      <c r="E2" s="119"/>
      <c r="F2" s="119"/>
      <c r="G2" s="119"/>
      <c r="H2" s="119"/>
      <c r="I2" s="123"/>
      <c r="J2" s="120"/>
      <c r="K2" s="120"/>
      <c r="L2" s="120"/>
      <c r="M2" s="21"/>
    </row>
    <row r="3" spans="1:17" s="12" customFormat="1" ht="14.65" thickBot="1" x14ac:dyDescent="0.5">
      <c r="B3" s="15"/>
      <c r="C3" s="36"/>
      <c r="D3" s="36"/>
      <c r="E3" s="36"/>
      <c r="F3" s="15"/>
      <c r="G3" s="682"/>
      <c r="H3" s="683"/>
      <c r="I3" s="683"/>
      <c r="J3" s="684"/>
      <c r="K3" s="684"/>
      <c r="L3" s="685"/>
      <c r="M3" s="15"/>
      <c r="N3" s="601" t="s">
        <v>231</v>
      </c>
      <c r="O3" s="602"/>
      <c r="P3" s="15"/>
    </row>
    <row r="4" spans="1:17" s="12" customFormat="1" ht="60.75" customHeight="1" x14ac:dyDescent="0.45">
      <c r="B4" s="88" t="s">
        <v>249</v>
      </c>
      <c r="C4" s="89" t="s">
        <v>250</v>
      </c>
      <c r="D4" s="89" t="s">
        <v>251</v>
      </c>
      <c r="E4" s="89" t="s">
        <v>252</v>
      </c>
      <c r="F4" s="43" t="s">
        <v>284</v>
      </c>
      <c r="G4" s="492" t="s">
        <v>939</v>
      </c>
      <c r="H4" s="497" t="s">
        <v>940</v>
      </c>
      <c r="I4" s="564" t="s">
        <v>943</v>
      </c>
      <c r="J4" s="106" t="s">
        <v>930</v>
      </c>
      <c r="K4" s="106" t="s">
        <v>931</v>
      </c>
      <c r="L4" s="284" t="s">
        <v>929</v>
      </c>
      <c r="M4" s="13"/>
      <c r="N4" s="32">
        <v>0</v>
      </c>
      <c r="O4" s="603" t="s">
        <v>240</v>
      </c>
      <c r="P4" s="34" t="s">
        <v>583</v>
      </c>
      <c r="Q4" s="16"/>
    </row>
    <row r="5" spans="1:17" s="12" customFormat="1" x14ac:dyDescent="0.45">
      <c r="A5" s="697" t="s">
        <v>248</v>
      </c>
      <c r="B5" s="444" t="s">
        <v>230</v>
      </c>
      <c r="C5" s="70" t="s">
        <v>1</v>
      </c>
      <c r="D5" s="71"/>
      <c r="E5" s="71"/>
      <c r="F5" s="270" t="s">
        <v>990</v>
      </c>
      <c r="G5" s="493" t="s">
        <v>923</v>
      </c>
      <c r="H5" s="203" t="s">
        <v>923</v>
      </c>
      <c r="I5" s="575"/>
      <c r="J5" s="203" t="s">
        <v>922</v>
      </c>
      <c r="K5" s="203" t="s">
        <v>605</v>
      </c>
      <c r="L5" s="285">
        <v>2</v>
      </c>
      <c r="M5" s="31"/>
      <c r="N5" s="33">
        <v>1</v>
      </c>
      <c r="O5" s="604" t="s">
        <v>242</v>
      </c>
      <c r="P5" s="4"/>
      <c r="Q5" s="16"/>
    </row>
    <row r="6" spans="1:17" s="12" customFormat="1" x14ac:dyDescent="0.45">
      <c r="A6" s="698"/>
      <c r="B6" s="63" t="s">
        <v>231</v>
      </c>
      <c r="C6" s="70" t="s">
        <v>22</v>
      </c>
      <c r="D6" s="71"/>
      <c r="E6" s="71"/>
      <c r="F6" s="270" t="s">
        <v>989</v>
      </c>
      <c r="G6" s="493" t="s">
        <v>923</v>
      </c>
      <c r="H6" s="203" t="s">
        <v>923</v>
      </c>
      <c r="I6" s="575"/>
      <c r="J6" s="203" t="s">
        <v>922</v>
      </c>
      <c r="K6" s="286" t="s">
        <v>605</v>
      </c>
      <c r="L6" s="285">
        <v>0</v>
      </c>
      <c r="M6" s="31"/>
      <c r="N6" s="33">
        <v>2</v>
      </c>
      <c r="O6" s="604" t="s">
        <v>243</v>
      </c>
      <c r="P6" s="4"/>
    </row>
    <row r="7" spans="1:17" s="12" customFormat="1" x14ac:dyDescent="0.45">
      <c r="A7" s="698"/>
      <c r="B7" s="444" t="s">
        <v>232</v>
      </c>
      <c r="C7" s="70" t="s">
        <v>31</v>
      </c>
      <c r="D7" s="71"/>
      <c r="E7" s="71"/>
      <c r="F7" s="270">
        <v>0</v>
      </c>
      <c r="G7" s="493" t="s">
        <v>923</v>
      </c>
      <c r="H7" s="203" t="s">
        <v>923</v>
      </c>
      <c r="I7" s="575"/>
      <c r="J7" s="203" t="s">
        <v>922</v>
      </c>
      <c r="K7" s="203" t="s">
        <v>920</v>
      </c>
      <c r="L7" s="285">
        <v>0</v>
      </c>
      <c r="M7" s="31"/>
      <c r="N7" s="33">
        <v>3</v>
      </c>
      <c r="O7" s="604" t="s">
        <v>245</v>
      </c>
      <c r="P7" s="4"/>
    </row>
    <row r="8" spans="1:17" s="12" customFormat="1" x14ac:dyDescent="0.45">
      <c r="A8" s="698"/>
      <c r="B8" s="444" t="s">
        <v>233</v>
      </c>
      <c r="C8" s="70" t="s">
        <v>33</v>
      </c>
      <c r="D8" s="71"/>
      <c r="E8" s="71"/>
      <c r="F8" s="270">
        <v>178</v>
      </c>
      <c r="G8" s="493" t="s">
        <v>923</v>
      </c>
      <c r="H8" s="203" t="s">
        <v>923</v>
      </c>
      <c r="I8" s="575"/>
      <c r="J8" s="203" t="s">
        <v>922</v>
      </c>
      <c r="K8" s="203" t="s">
        <v>920</v>
      </c>
      <c r="L8" s="285">
        <v>178</v>
      </c>
      <c r="M8" s="31"/>
      <c r="N8" s="33">
        <v>4</v>
      </c>
      <c r="O8" s="604" t="s">
        <v>246</v>
      </c>
      <c r="P8" s="4"/>
    </row>
    <row r="9" spans="1:17" s="12" customFormat="1" ht="14.65" thickBot="1" x14ac:dyDescent="0.5">
      <c r="A9" s="698"/>
      <c r="B9" s="444" t="s">
        <v>234</v>
      </c>
      <c r="C9" s="70" t="s">
        <v>34</v>
      </c>
      <c r="D9" s="71"/>
      <c r="E9" s="71"/>
      <c r="F9" s="270"/>
      <c r="G9" s="493" t="s">
        <v>923</v>
      </c>
      <c r="H9" s="203" t="s">
        <v>923</v>
      </c>
      <c r="I9" s="575"/>
      <c r="J9" s="203" t="s">
        <v>922</v>
      </c>
      <c r="K9" s="203" t="s">
        <v>920</v>
      </c>
      <c r="L9" s="285" t="s">
        <v>798</v>
      </c>
      <c r="M9" s="31"/>
      <c r="N9" s="605">
        <v>5</v>
      </c>
      <c r="O9" s="606" t="s">
        <v>247</v>
      </c>
      <c r="P9" s="4" t="s">
        <v>982</v>
      </c>
    </row>
    <row r="10" spans="1:17" s="12" customFormat="1" x14ac:dyDescent="0.45">
      <c r="A10" s="698"/>
      <c r="B10" s="77" t="s">
        <v>235</v>
      </c>
      <c r="C10" s="39" t="s">
        <v>36</v>
      </c>
      <c r="D10" s="183"/>
      <c r="E10" s="183"/>
      <c r="F10" s="270" t="s">
        <v>991</v>
      </c>
      <c r="G10" s="493" t="s">
        <v>923</v>
      </c>
      <c r="H10" s="203" t="s">
        <v>923</v>
      </c>
      <c r="I10" s="575"/>
      <c r="J10" s="203" t="s">
        <v>922</v>
      </c>
      <c r="K10" s="203" t="s">
        <v>920</v>
      </c>
      <c r="L10" s="285"/>
      <c r="M10" s="31"/>
    </row>
    <row r="11" spans="1:17" s="12" customFormat="1" ht="15" customHeight="1" x14ac:dyDescent="0.45">
      <c r="A11" s="699"/>
      <c r="B11" s="77" t="s">
        <v>584</v>
      </c>
      <c r="C11" s="39" t="s">
        <v>37</v>
      </c>
      <c r="D11" s="184"/>
      <c r="E11" s="185"/>
      <c r="F11" s="31" t="s">
        <v>589</v>
      </c>
      <c r="G11" s="494"/>
      <c r="H11" s="367"/>
      <c r="I11" s="576"/>
      <c r="J11" s="204"/>
      <c r="K11" s="204"/>
      <c r="L11" s="287"/>
      <c r="M11" s="31"/>
      <c r="N11" s="473" t="s">
        <v>37</v>
      </c>
      <c r="O11" s="609"/>
      <c r="P11" s="185"/>
    </row>
    <row r="12" spans="1:17" s="12" customFormat="1" ht="15" customHeight="1" x14ac:dyDescent="0.45">
      <c r="A12" s="699"/>
      <c r="B12" s="445">
        <v>0</v>
      </c>
      <c r="C12" s="28" t="str">
        <f t="shared" ref="C12:C27" si="0">CONCATENATE(".bit ", B12)</f>
        <v>.bit 0</v>
      </c>
      <c r="D12" s="15" t="s">
        <v>420</v>
      </c>
      <c r="E12" s="158" t="str">
        <f t="shared" ref="E12:E27" si="1">CONCATENATE($C$11,DEC2HEX(B12))</f>
        <v>0x060</v>
      </c>
      <c r="F12" s="15" t="s">
        <v>703</v>
      </c>
      <c r="G12" s="495" t="s">
        <v>923</v>
      </c>
      <c r="H12" s="289" t="s">
        <v>923</v>
      </c>
      <c r="I12" s="720" t="s">
        <v>984</v>
      </c>
      <c r="J12" s="289" t="s">
        <v>922</v>
      </c>
      <c r="K12" s="289" t="s">
        <v>920</v>
      </c>
      <c r="L12" s="287">
        <v>1</v>
      </c>
      <c r="M12" s="31"/>
      <c r="N12" s="611" t="s">
        <v>2</v>
      </c>
      <c r="O12" s="15" t="s">
        <v>420</v>
      </c>
      <c r="P12" s="610" t="s">
        <v>949</v>
      </c>
    </row>
    <row r="13" spans="1:17" s="12" customFormat="1" ht="15" customHeight="1" x14ac:dyDescent="0.45">
      <c r="A13" s="699"/>
      <c r="B13" s="148">
        <f t="shared" ref="B13:B27" si="2">B12+1</f>
        <v>1</v>
      </c>
      <c r="C13" s="28" t="str">
        <f t="shared" si="0"/>
        <v>.bit 1</v>
      </c>
      <c r="D13" s="15" t="s">
        <v>119</v>
      </c>
      <c r="E13" s="158" t="str">
        <f t="shared" si="1"/>
        <v>0x061</v>
      </c>
      <c r="F13" s="15" t="s">
        <v>704</v>
      </c>
      <c r="G13" s="495" t="s">
        <v>923</v>
      </c>
      <c r="H13" s="289" t="s">
        <v>923</v>
      </c>
      <c r="I13" s="720"/>
      <c r="J13" s="289" t="s">
        <v>922</v>
      </c>
      <c r="K13" s="289" t="s">
        <v>919</v>
      </c>
      <c r="L13" s="287">
        <v>0</v>
      </c>
      <c r="M13" s="31"/>
      <c r="N13" s="611" t="s">
        <v>4</v>
      </c>
      <c r="O13" s="15" t="s">
        <v>119</v>
      </c>
      <c r="P13" s="610" t="s">
        <v>950</v>
      </c>
    </row>
    <row r="14" spans="1:17" s="12" customFormat="1" ht="15" customHeight="1" x14ac:dyDescent="0.45">
      <c r="A14" s="699"/>
      <c r="B14" s="148">
        <f t="shared" si="2"/>
        <v>2</v>
      </c>
      <c r="C14" s="28" t="str">
        <f t="shared" si="0"/>
        <v>.bit 2</v>
      </c>
      <c r="D14" s="15" t="s">
        <v>421</v>
      </c>
      <c r="E14" s="158" t="str">
        <f t="shared" si="1"/>
        <v>0x062</v>
      </c>
      <c r="F14" s="15" t="s">
        <v>705</v>
      </c>
      <c r="G14" s="495" t="s">
        <v>923</v>
      </c>
      <c r="H14" s="289" t="s">
        <v>923</v>
      </c>
      <c r="I14" s="720"/>
      <c r="J14" s="289" t="s">
        <v>922</v>
      </c>
      <c r="K14" s="289" t="s">
        <v>919</v>
      </c>
      <c r="L14" s="287">
        <v>0</v>
      </c>
      <c r="M14" s="31"/>
      <c r="N14" s="611" t="s">
        <v>6</v>
      </c>
      <c r="O14" s="15" t="s">
        <v>421</v>
      </c>
      <c r="P14" s="610" t="s">
        <v>951</v>
      </c>
    </row>
    <row r="15" spans="1:17" s="12" customFormat="1" ht="15" customHeight="1" x14ac:dyDescent="0.45">
      <c r="A15" s="699"/>
      <c r="B15" s="148">
        <f t="shared" si="2"/>
        <v>3</v>
      </c>
      <c r="C15" s="28" t="str">
        <f t="shared" si="0"/>
        <v>.bit 3</v>
      </c>
      <c r="D15" s="15" t="s">
        <v>422</v>
      </c>
      <c r="E15" s="158" t="str">
        <f t="shared" si="1"/>
        <v>0x063</v>
      </c>
      <c r="F15" s="15" t="s">
        <v>706</v>
      </c>
      <c r="G15" s="495" t="s">
        <v>923</v>
      </c>
      <c r="H15" s="289" t="s">
        <v>923</v>
      </c>
      <c r="I15" s="720"/>
      <c r="J15" s="289" t="s">
        <v>922</v>
      </c>
      <c r="K15" s="289" t="s">
        <v>919</v>
      </c>
      <c r="L15" s="287">
        <v>0</v>
      </c>
      <c r="M15" s="31"/>
      <c r="N15" s="611" t="s">
        <v>7</v>
      </c>
      <c r="O15" s="15" t="s">
        <v>422</v>
      </c>
      <c r="P15" s="610" t="s">
        <v>952</v>
      </c>
    </row>
    <row r="16" spans="1:17" s="12" customFormat="1" ht="15" customHeight="1" x14ac:dyDescent="0.45">
      <c r="A16" s="699"/>
      <c r="B16" s="148">
        <f t="shared" si="2"/>
        <v>4</v>
      </c>
      <c r="C16" s="28" t="str">
        <f t="shared" si="0"/>
        <v>.bit 4</v>
      </c>
      <c r="D16" s="15" t="s">
        <v>423</v>
      </c>
      <c r="E16" s="158" t="str">
        <f t="shared" si="1"/>
        <v>0x064</v>
      </c>
      <c r="F16" s="15" t="s">
        <v>707</v>
      </c>
      <c r="G16" s="495" t="s">
        <v>923</v>
      </c>
      <c r="H16" s="289" t="s">
        <v>923</v>
      </c>
      <c r="I16" s="720"/>
      <c r="J16" s="289" t="s">
        <v>922</v>
      </c>
      <c r="K16" s="289" t="s">
        <v>919</v>
      </c>
      <c r="L16" s="287">
        <v>1</v>
      </c>
      <c r="M16" s="31"/>
      <c r="N16" s="611" t="s">
        <v>8</v>
      </c>
      <c r="O16" s="15" t="s">
        <v>423</v>
      </c>
      <c r="P16" s="610" t="s">
        <v>953</v>
      </c>
    </row>
    <row r="17" spans="1:17" s="12" customFormat="1" ht="15" customHeight="1" x14ac:dyDescent="0.45">
      <c r="A17" s="699"/>
      <c r="B17" s="148">
        <f t="shared" si="2"/>
        <v>5</v>
      </c>
      <c r="C17" s="28" t="str">
        <f t="shared" si="0"/>
        <v>.bit 5</v>
      </c>
      <c r="D17" s="15" t="s">
        <v>424</v>
      </c>
      <c r="E17" s="158" t="str">
        <f t="shared" si="1"/>
        <v>0x065</v>
      </c>
      <c r="F17" s="15" t="s">
        <v>708</v>
      </c>
      <c r="G17" s="495" t="s">
        <v>923</v>
      </c>
      <c r="H17" s="289" t="s">
        <v>923</v>
      </c>
      <c r="I17" s="720"/>
      <c r="J17" s="289" t="s">
        <v>922</v>
      </c>
      <c r="K17" s="289" t="s">
        <v>919</v>
      </c>
      <c r="L17" s="287">
        <v>1</v>
      </c>
      <c r="M17" s="31"/>
      <c r="N17" s="611" t="s">
        <v>9</v>
      </c>
      <c r="O17" s="15" t="s">
        <v>424</v>
      </c>
      <c r="P17" s="610" t="s">
        <v>954</v>
      </c>
    </row>
    <row r="18" spans="1:17" s="12" customFormat="1" ht="15" customHeight="1" x14ac:dyDescent="0.45">
      <c r="A18" s="699"/>
      <c r="B18" s="148">
        <f t="shared" si="2"/>
        <v>6</v>
      </c>
      <c r="C18" s="28" t="str">
        <f t="shared" si="0"/>
        <v>.bit 6</v>
      </c>
      <c r="D18" s="15" t="s">
        <v>425</v>
      </c>
      <c r="E18" s="158" t="str">
        <f t="shared" si="1"/>
        <v>0x066</v>
      </c>
      <c r="F18" s="15" t="s">
        <v>709</v>
      </c>
      <c r="G18" s="495" t="s">
        <v>923</v>
      </c>
      <c r="H18" s="289" t="s">
        <v>923</v>
      </c>
      <c r="I18" s="720"/>
      <c r="J18" s="289" t="s">
        <v>922</v>
      </c>
      <c r="K18" s="289" t="s">
        <v>920</v>
      </c>
      <c r="L18" s="287">
        <v>0</v>
      </c>
      <c r="M18" s="31"/>
      <c r="N18" s="611" t="s">
        <v>10</v>
      </c>
      <c r="O18" s="15" t="s">
        <v>425</v>
      </c>
      <c r="P18" s="610" t="s">
        <v>955</v>
      </c>
    </row>
    <row r="19" spans="1:17" s="12" customFormat="1" ht="15" customHeight="1" x14ac:dyDescent="0.45">
      <c r="A19" s="699"/>
      <c r="B19" s="148">
        <f t="shared" si="2"/>
        <v>7</v>
      </c>
      <c r="C19" s="28" t="str">
        <f t="shared" si="0"/>
        <v>.bit 7</v>
      </c>
      <c r="D19" s="15" t="s">
        <v>120</v>
      </c>
      <c r="E19" s="158" t="str">
        <f t="shared" si="1"/>
        <v>0x067</v>
      </c>
      <c r="F19" s="15" t="s">
        <v>710</v>
      </c>
      <c r="G19" s="495" t="s">
        <v>923</v>
      </c>
      <c r="H19" s="289" t="s">
        <v>923</v>
      </c>
      <c r="I19" s="720"/>
      <c r="J19" s="289" t="s">
        <v>922</v>
      </c>
      <c r="K19" s="289" t="s">
        <v>919</v>
      </c>
      <c r="L19" s="287">
        <v>0</v>
      </c>
      <c r="M19" s="31"/>
      <c r="N19" s="611" t="s">
        <v>12</v>
      </c>
      <c r="O19" s="15" t="s">
        <v>120</v>
      </c>
      <c r="P19" s="610" t="s">
        <v>956</v>
      </c>
    </row>
    <row r="20" spans="1:17" s="12" customFormat="1" ht="15" customHeight="1" x14ac:dyDescent="0.45">
      <c r="A20" s="699"/>
      <c r="B20" s="148">
        <f t="shared" si="2"/>
        <v>8</v>
      </c>
      <c r="C20" s="28" t="str">
        <f t="shared" si="0"/>
        <v>.bit 8</v>
      </c>
      <c r="D20" s="15" t="s">
        <v>426</v>
      </c>
      <c r="E20" s="158" t="str">
        <f t="shared" si="1"/>
        <v>0x068</v>
      </c>
      <c r="F20" s="15" t="s">
        <v>711</v>
      </c>
      <c r="G20" s="495" t="s">
        <v>923</v>
      </c>
      <c r="H20" s="289" t="s">
        <v>923</v>
      </c>
      <c r="I20" s="720"/>
      <c r="J20" s="289" t="s">
        <v>922</v>
      </c>
      <c r="K20" s="289" t="s">
        <v>919</v>
      </c>
      <c r="L20" s="287">
        <v>0</v>
      </c>
      <c r="M20" s="31"/>
      <c r="N20" s="611" t="s">
        <v>13</v>
      </c>
      <c r="O20" s="15" t="s">
        <v>426</v>
      </c>
      <c r="P20" s="610" t="s">
        <v>957</v>
      </c>
    </row>
    <row r="21" spans="1:17" s="12" customFormat="1" ht="15" customHeight="1" x14ac:dyDescent="0.45">
      <c r="A21" s="699"/>
      <c r="B21" s="148">
        <f t="shared" si="2"/>
        <v>9</v>
      </c>
      <c r="C21" s="28" t="str">
        <f t="shared" si="0"/>
        <v>.bit 9</v>
      </c>
      <c r="D21" s="15" t="s">
        <v>910</v>
      </c>
      <c r="E21" s="158" t="str">
        <f t="shared" si="1"/>
        <v>0x069</v>
      </c>
      <c r="F21" s="15" t="s">
        <v>914</v>
      </c>
      <c r="G21" s="495" t="s">
        <v>923</v>
      </c>
      <c r="H21" s="289" t="s">
        <v>923</v>
      </c>
      <c r="I21" s="720"/>
      <c r="J21" s="289" t="s">
        <v>922</v>
      </c>
      <c r="K21" s="289" t="s">
        <v>919</v>
      </c>
      <c r="L21" s="287">
        <v>1</v>
      </c>
      <c r="M21" s="31"/>
      <c r="N21" s="611" t="s">
        <v>14</v>
      </c>
      <c r="O21" s="15" t="s">
        <v>944</v>
      </c>
      <c r="P21" s="610" t="s">
        <v>958</v>
      </c>
    </row>
    <row r="22" spans="1:17" s="12" customFormat="1" ht="15" customHeight="1" x14ac:dyDescent="0.45">
      <c r="A22" s="699"/>
      <c r="B22" s="148">
        <f t="shared" si="2"/>
        <v>10</v>
      </c>
      <c r="C22" s="28" t="str">
        <f t="shared" si="0"/>
        <v>.bit 10</v>
      </c>
      <c r="D22" s="15"/>
      <c r="E22" s="158" t="str">
        <f t="shared" si="1"/>
        <v>0x06A</v>
      </c>
      <c r="F22" s="15"/>
      <c r="G22" s="495"/>
      <c r="H22" s="289"/>
      <c r="I22" s="720"/>
      <c r="J22" s="289"/>
      <c r="K22" s="289"/>
      <c r="L22" s="287"/>
      <c r="M22" s="31"/>
      <c r="N22" s="611" t="s">
        <v>15</v>
      </c>
      <c r="O22" s="15" t="s">
        <v>945</v>
      </c>
      <c r="P22" s="610" t="s">
        <v>959</v>
      </c>
    </row>
    <row r="23" spans="1:17" s="12" customFormat="1" ht="15" customHeight="1" x14ac:dyDescent="0.45">
      <c r="A23" s="699"/>
      <c r="B23" s="148">
        <f t="shared" si="2"/>
        <v>11</v>
      </c>
      <c r="C23" s="28" t="str">
        <f t="shared" si="0"/>
        <v>.bit 11</v>
      </c>
      <c r="D23" s="31" t="s">
        <v>600</v>
      </c>
      <c r="E23" s="158" t="str">
        <f t="shared" si="1"/>
        <v>0x06B</v>
      </c>
      <c r="F23" s="31" t="s">
        <v>712</v>
      </c>
      <c r="G23" s="495" t="s">
        <v>923</v>
      </c>
      <c r="H23" s="289" t="s">
        <v>923</v>
      </c>
      <c r="I23" s="720"/>
      <c r="J23" s="289" t="s">
        <v>922</v>
      </c>
      <c r="K23" s="289" t="s">
        <v>919</v>
      </c>
      <c r="L23" s="287">
        <v>1</v>
      </c>
      <c r="M23" s="31"/>
      <c r="N23" s="611" t="s">
        <v>16</v>
      </c>
      <c r="O23" s="31" t="s">
        <v>600</v>
      </c>
      <c r="P23" s="610" t="s">
        <v>960</v>
      </c>
    </row>
    <row r="24" spans="1:17" s="12" customFormat="1" ht="15" customHeight="1" x14ac:dyDescent="0.45">
      <c r="A24" s="699"/>
      <c r="B24" s="148">
        <f t="shared" si="2"/>
        <v>12</v>
      </c>
      <c r="C24" s="28" t="str">
        <f t="shared" si="0"/>
        <v>.bit 12</v>
      </c>
      <c r="D24" s="15" t="s">
        <v>911</v>
      </c>
      <c r="E24" s="158" t="str">
        <f t="shared" si="1"/>
        <v>0x06C</v>
      </c>
      <c r="F24" s="15" t="s">
        <v>713</v>
      </c>
      <c r="G24" s="495" t="s">
        <v>923</v>
      </c>
      <c r="H24" s="289" t="s">
        <v>923</v>
      </c>
      <c r="I24" s="720"/>
      <c r="J24" s="289" t="s">
        <v>922</v>
      </c>
      <c r="K24" s="289" t="s">
        <v>919</v>
      </c>
      <c r="L24" s="287">
        <v>0</v>
      </c>
      <c r="M24" s="31"/>
      <c r="N24" s="611" t="s">
        <v>17</v>
      </c>
      <c r="O24" s="15" t="s">
        <v>946</v>
      </c>
      <c r="P24" s="610" t="s">
        <v>961</v>
      </c>
    </row>
    <row r="25" spans="1:17" s="12" customFormat="1" ht="15" customHeight="1" x14ac:dyDescent="0.45">
      <c r="A25" s="699"/>
      <c r="B25" s="148">
        <f t="shared" si="2"/>
        <v>13</v>
      </c>
      <c r="C25" s="28" t="str">
        <f t="shared" si="0"/>
        <v>.bit 13</v>
      </c>
      <c r="D25" s="15" t="s">
        <v>912</v>
      </c>
      <c r="E25" s="158" t="str">
        <f t="shared" si="1"/>
        <v>0x06D</v>
      </c>
      <c r="F25" s="12" t="s">
        <v>913</v>
      </c>
      <c r="G25" s="495" t="s">
        <v>923</v>
      </c>
      <c r="H25" s="289" t="s">
        <v>923</v>
      </c>
      <c r="I25" s="720"/>
      <c r="J25" s="289" t="s">
        <v>922</v>
      </c>
      <c r="K25" s="289" t="s">
        <v>919</v>
      </c>
      <c r="L25" s="287">
        <v>1</v>
      </c>
      <c r="M25" s="31"/>
      <c r="N25" s="611" t="s">
        <v>18</v>
      </c>
      <c r="O25" s="15" t="s">
        <v>947</v>
      </c>
      <c r="P25" s="610" t="s">
        <v>962</v>
      </c>
    </row>
    <row r="26" spans="1:17" s="12" customFormat="1" ht="15" customHeight="1" x14ac:dyDescent="0.45">
      <c r="A26" s="699"/>
      <c r="B26" s="148">
        <f t="shared" si="2"/>
        <v>14</v>
      </c>
      <c r="C26" s="28" t="str">
        <f t="shared" si="0"/>
        <v>.bit 14</v>
      </c>
      <c r="D26" s="15"/>
      <c r="E26" s="158" t="str">
        <f t="shared" si="1"/>
        <v>0x06E</v>
      </c>
      <c r="F26" s="31"/>
      <c r="G26" s="495"/>
      <c r="H26" s="289"/>
      <c r="I26" s="720"/>
      <c r="J26" s="289"/>
      <c r="K26" s="289"/>
      <c r="L26" s="287"/>
      <c r="M26" s="31"/>
      <c r="N26" s="611" t="s">
        <v>19</v>
      </c>
      <c r="O26" s="15" t="s">
        <v>948</v>
      </c>
      <c r="P26" s="610" t="s">
        <v>963</v>
      </c>
    </row>
    <row r="27" spans="1:17" s="12" customFormat="1" ht="15" customHeight="1" x14ac:dyDescent="0.45">
      <c r="A27" s="699"/>
      <c r="B27" s="355">
        <f t="shared" si="2"/>
        <v>15</v>
      </c>
      <c r="C27" s="28" t="str">
        <f t="shared" si="0"/>
        <v>.bit 15</v>
      </c>
      <c r="D27" s="15" t="s">
        <v>784</v>
      </c>
      <c r="E27" s="158" t="str">
        <f t="shared" si="1"/>
        <v>0x06F</v>
      </c>
      <c r="F27" s="31" t="s">
        <v>785</v>
      </c>
      <c r="G27" s="495" t="s">
        <v>923</v>
      </c>
      <c r="H27" s="289" t="s">
        <v>923</v>
      </c>
      <c r="I27" s="721"/>
      <c r="J27" s="289" t="s">
        <v>922</v>
      </c>
      <c r="K27" s="289" t="s">
        <v>920</v>
      </c>
      <c r="L27" s="287">
        <v>1</v>
      </c>
      <c r="M27" s="31"/>
      <c r="N27" s="612" t="s">
        <v>20</v>
      </c>
      <c r="O27" s="80" t="s">
        <v>784</v>
      </c>
      <c r="P27" s="613" t="s">
        <v>964</v>
      </c>
      <c r="Q27" s="12" t="s">
        <v>983</v>
      </c>
    </row>
    <row r="28" spans="1:17" s="12" customFormat="1" ht="14.65" thickBot="1" x14ac:dyDescent="0.5">
      <c r="A28" s="698"/>
      <c r="B28" s="444" t="s">
        <v>433</v>
      </c>
      <c r="C28" s="70" t="s">
        <v>39</v>
      </c>
      <c r="D28" s="71"/>
      <c r="E28" s="350"/>
      <c r="F28" s="270" t="s">
        <v>585</v>
      </c>
      <c r="G28" s="493" t="s">
        <v>923</v>
      </c>
      <c r="H28" s="203" t="s">
        <v>923</v>
      </c>
      <c r="I28" s="575"/>
      <c r="J28" s="203" t="s">
        <v>922</v>
      </c>
      <c r="K28" s="203" t="s">
        <v>919</v>
      </c>
      <c r="L28" s="203"/>
      <c r="M28" s="31"/>
    </row>
    <row r="29" spans="1:17" s="12" customFormat="1" ht="14.65" thickBot="1" x14ac:dyDescent="0.5">
      <c r="A29" s="698"/>
      <c r="B29" s="444" t="s">
        <v>434</v>
      </c>
      <c r="C29" s="70" t="s">
        <v>40</v>
      </c>
      <c r="D29" s="71"/>
      <c r="E29" s="71"/>
      <c r="F29" s="270" t="s">
        <v>586</v>
      </c>
      <c r="G29" s="493" t="s">
        <v>923</v>
      </c>
      <c r="H29" s="203" t="s">
        <v>923</v>
      </c>
      <c r="I29" s="575"/>
      <c r="J29" s="203" t="s">
        <v>922</v>
      </c>
      <c r="K29" s="203" t="s">
        <v>919</v>
      </c>
      <c r="L29" s="203"/>
      <c r="M29" s="31"/>
      <c r="N29" s="237" t="s">
        <v>239</v>
      </c>
      <c r="O29" s="238"/>
      <c r="P29" s="93"/>
    </row>
    <row r="30" spans="1:17" s="12" customFormat="1" x14ac:dyDescent="0.45">
      <c r="A30" s="698"/>
      <c r="B30" s="444" t="s">
        <v>764</v>
      </c>
      <c r="C30" s="70" t="s">
        <v>41</v>
      </c>
      <c r="D30" s="71"/>
      <c r="E30" s="71"/>
      <c r="F30" s="270" t="s">
        <v>435</v>
      </c>
      <c r="G30" s="493" t="s">
        <v>923</v>
      </c>
      <c r="H30" s="203" t="s">
        <v>923</v>
      </c>
      <c r="I30" s="575"/>
      <c r="J30" s="203" t="s">
        <v>922</v>
      </c>
      <c r="K30" s="203" t="s">
        <v>920</v>
      </c>
      <c r="L30" s="285" t="s">
        <v>588</v>
      </c>
      <c r="M30" s="31"/>
      <c r="N30" s="239" t="s">
        <v>1</v>
      </c>
      <c r="O30" s="238" t="s">
        <v>241</v>
      </c>
      <c r="P30" s="93"/>
    </row>
    <row r="31" spans="1:17" s="12" customFormat="1" x14ac:dyDescent="0.45">
      <c r="A31" s="698"/>
      <c r="B31" s="444" t="s">
        <v>765</v>
      </c>
      <c r="C31" s="70" t="s">
        <v>43</v>
      </c>
      <c r="D31" s="71"/>
      <c r="E31" s="71"/>
      <c r="F31" s="270" t="s">
        <v>435</v>
      </c>
      <c r="G31" s="493" t="s">
        <v>923</v>
      </c>
      <c r="H31" s="203" t="s">
        <v>923</v>
      </c>
      <c r="I31" s="575"/>
      <c r="J31" s="203" t="s">
        <v>922</v>
      </c>
      <c r="K31" s="203" t="s">
        <v>920</v>
      </c>
      <c r="L31" s="285" t="s">
        <v>588</v>
      </c>
      <c r="M31" s="31"/>
      <c r="N31" s="240" t="s">
        <v>22</v>
      </c>
      <c r="O31" s="241" t="s">
        <v>656</v>
      </c>
      <c r="P31" s="93"/>
    </row>
    <row r="32" spans="1:17" s="12" customFormat="1" ht="14.65" thickBot="1" x14ac:dyDescent="0.5">
      <c r="A32" s="698"/>
      <c r="B32" s="444" t="s">
        <v>766</v>
      </c>
      <c r="C32" s="70" t="s">
        <v>44</v>
      </c>
      <c r="D32" s="71"/>
      <c r="E32" s="71"/>
      <c r="F32" s="270" t="s">
        <v>435</v>
      </c>
      <c r="G32" s="493" t="s">
        <v>923</v>
      </c>
      <c r="H32" s="203" t="s">
        <v>923</v>
      </c>
      <c r="I32" s="575"/>
      <c r="J32" s="203" t="s">
        <v>922</v>
      </c>
      <c r="K32" s="203" t="s">
        <v>920</v>
      </c>
      <c r="L32" s="285" t="s">
        <v>588</v>
      </c>
      <c r="M32" s="31"/>
      <c r="N32" s="37" t="s">
        <v>31</v>
      </c>
      <c r="O32" s="38" t="s">
        <v>244</v>
      </c>
      <c r="P32" s="13" t="s">
        <v>987</v>
      </c>
    </row>
    <row r="33" spans="1:16" s="12" customFormat="1" x14ac:dyDescent="0.45">
      <c r="A33" s="698"/>
      <c r="B33" s="444" t="s">
        <v>236</v>
      </c>
      <c r="C33" s="70" t="s">
        <v>45</v>
      </c>
      <c r="D33" s="71"/>
      <c r="E33" s="71"/>
      <c r="F33" s="271" t="s">
        <v>987</v>
      </c>
      <c r="G33" s="493" t="s">
        <v>923</v>
      </c>
      <c r="H33" s="203" t="s">
        <v>923</v>
      </c>
      <c r="I33" s="575"/>
      <c r="J33" s="203" t="s">
        <v>922</v>
      </c>
      <c r="K33" s="203" t="s">
        <v>920</v>
      </c>
      <c r="L33" s="285" t="s">
        <v>987</v>
      </c>
      <c r="M33" s="31"/>
      <c r="P33" s="13"/>
    </row>
    <row r="34" spans="1:16" s="12" customFormat="1" ht="15" customHeight="1" x14ac:dyDescent="0.45">
      <c r="A34" s="698"/>
      <c r="B34" s="77" t="s">
        <v>590</v>
      </c>
      <c r="C34" s="39" t="s">
        <v>46</v>
      </c>
      <c r="D34" s="184"/>
      <c r="E34" s="185"/>
      <c r="F34" s="31" t="s">
        <v>589</v>
      </c>
      <c r="G34" s="494"/>
      <c r="H34" s="367"/>
      <c r="I34" s="576"/>
      <c r="J34" s="204"/>
      <c r="K34" s="204"/>
      <c r="L34" s="287"/>
      <c r="M34" s="31"/>
      <c r="N34" s="473" t="s">
        <v>46</v>
      </c>
      <c r="O34" s="609"/>
      <c r="P34" s="185"/>
    </row>
    <row r="35" spans="1:16" s="12" customFormat="1" ht="15" customHeight="1" x14ac:dyDescent="0.45">
      <c r="A35" s="698"/>
      <c r="B35" s="148">
        <v>0</v>
      </c>
      <c r="C35" s="28" t="str">
        <f t="shared" ref="C35:C50" si="3">CONCATENATE(".bit ", B35)</f>
        <v>.bit 0</v>
      </c>
      <c r="D35" s="15" t="s">
        <v>420</v>
      </c>
      <c r="E35" s="158" t="str">
        <f t="shared" ref="E35:E50" si="4">CONCATENATE($C$34,DEC2HEX(B35))</f>
        <v>0x0D0</v>
      </c>
      <c r="F35" s="15" t="s">
        <v>591</v>
      </c>
      <c r="G35" s="495" t="s">
        <v>923</v>
      </c>
      <c r="H35" s="289" t="s">
        <v>923</v>
      </c>
      <c r="I35" s="720" t="s">
        <v>985</v>
      </c>
      <c r="J35" s="289" t="s">
        <v>922</v>
      </c>
      <c r="K35" s="289" t="s">
        <v>605</v>
      </c>
      <c r="L35" s="287">
        <v>1</v>
      </c>
      <c r="M35" s="31"/>
      <c r="N35" s="611" t="s">
        <v>2</v>
      </c>
      <c r="O35" s="15" t="s">
        <v>420</v>
      </c>
      <c r="P35" s="610" t="s">
        <v>966</v>
      </c>
    </row>
    <row r="36" spans="1:16" s="12" customFormat="1" ht="15" customHeight="1" x14ac:dyDescent="0.45">
      <c r="A36" s="698"/>
      <c r="B36" s="148">
        <f t="shared" ref="B36:B50" si="5">B35+1</f>
        <v>1</v>
      </c>
      <c r="C36" s="28" t="str">
        <f t="shared" si="3"/>
        <v>.bit 1</v>
      </c>
      <c r="D36" s="15" t="s">
        <v>119</v>
      </c>
      <c r="E36" s="158" t="str">
        <f t="shared" si="4"/>
        <v>0x0D1</v>
      </c>
      <c r="F36" s="15" t="s">
        <v>592</v>
      </c>
      <c r="G36" s="495" t="s">
        <v>923</v>
      </c>
      <c r="H36" s="289" t="s">
        <v>923</v>
      </c>
      <c r="I36" s="720"/>
      <c r="J36" s="289" t="s">
        <v>922</v>
      </c>
      <c r="K36" s="289" t="s">
        <v>919</v>
      </c>
      <c r="L36" s="287">
        <v>0</v>
      </c>
      <c r="M36" s="31"/>
      <c r="N36" s="611" t="s">
        <v>4</v>
      </c>
      <c r="O36" s="15" t="s">
        <v>119</v>
      </c>
      <c r="P36" s="610" t="s">
        <v>967</v>
      </c>
    </row>
    <row r="37" spans="1:16" s="12" customFormat="1" ht="15" customHeight="1" x14ac:dyDescent="0.45">
      <c r="A37" s="698"/>
      <c r="B37" s="148">
        <f t="shared" si="5"/>
        <v>2</v>
      </c>
      <c r="C37" s="28" t="str">
        <f t="shared" si="3"/>
        <v>.bit 2</v>
      </c>
      <c r="D37" s="15" t="s">
        <v>421</v>
      </c>
      <c r="E37" s="158" t="str">
        <f t="shared" si="4"/>
        <v>0x0D2</v>
      </c>
      <c r="F37" s="15" t="s">
        <v>593</v>
      </c>
      <c r="G37" s="495" t="s">
        <v>923</v>
      </c>
      <c r="H37" s="289" t="s">
        <v>923</v>
      </c>
      <c r="I37" s="720"/>
      <c r="J37" s="289" t="s">
        <v>922</v>
      </c>
      <c r="K37" s="289" t="s">
        <v>919</v>
      </c>
      <c r="L37" s="287">
        <v>0</v>
      </c>
      <c r="M37" s="31"/>
      <c r="N37" s="611" t="s">
        <v>6</v>
      </c>
      <c r="O37" s="15" t="s">
        <v>421</v>
      </c>
      <c r="P37" s="610" t="s">
        <v>968</v>
      </c>
    </row>
    <row r="38" spans="1:16" s="12" customFormat="1" ht="15" customHeight="1" x14ac:dyDescent="0.45">
      <c r="A38" s="698"/>
      <c r="B38" s="148">
        <f t="shared" si="5"/>
        <v>3</v>
      </c>
      <c r="C38" s="28" t="str">
        <f t="shared" si="3"/>
        <v>.bit 3</v>
      </c>
      <c r="D38" s="15" t="s">
        <v>422</v>
      </c>
      <c r="E38" s="158" t="str">
        <f t="shared" si="4"/>
        <v>0x0D3</v>
      </c>
      <c r="F38" s="15" t="s">
        <v>594</v>
      </c>
      <c r="G38" s="495" t="s">
        <v>923</v>
      </c>
      <c r="H38" s="289" t="s">
        <v>923</v>
      </c>
      <c r="I38" s="720"/>
      <c r="J38" s="289" t="s">
        <v>922</v>
      </c>
      <c r="K38" s="289" t="s">
        <v>919</v>
      </c>
      <c r="L38" s="287">
        <v>0</v>
      </c>
      <c r="M38" s="31"/>
      <c r="N38" s="611" t="s">
        <v>7</v>
      </c>
      <c r="O38" s="15" t="s">
        <v>422</v>
      </c>
      <c r="P38" s="610" t="s">
        <v>969</v>
      </c>
    </row>
    <row r="39" spans="1:16" s="12" customFormat="1" ht="15" customHeight="1" x14ac:dyDescent="0.45">
      <c r="A39" s="698"/>
      <c r="B39" s="148">
        <f t="shared" si="5"/>
        <v>4</v>
      </c>
      <c r="C39" s="28" t="str">
        <f t="shared" si="3"/>
        <v>.bit 4</v>
      </c>
      <c r="D39" s="15" t="s">
        <v>423</v>
      </c>
      <c r="E39" s="158" t="str">
        <f t="shared" si="4"/>
        <v>0x0D4</v>
      </c>
      <c r="F39" s="15" t="s">
        <v>595</v>
      </c>
      <c r="G39" s="495" t="s">
        <v>923</v>
      </c>
      <c r="H39" s="289" t="s">
        <v>923</v>
      </c>
      <c r="I39" s="720"/>
      <c r="J39" s="289" t="s">
        <v>922</v>
      </c>
      <c r="K39" s="289" t="s">
        <v>919</v>
      </c>
      <c r="L39" s="287">
        <v>1</v>
      </c>
      <c r="M39" s="31"/>
      <c r="N39" s="611" t="s">
        <v>8</v>
      </c>
      <c r="O39" s="15" t="s">
        <v>423</v>
      </c>
      <c r="P39" s="610" t="s">
        <v>970</v>
      </c>
    </row>
    <row r="40" spans="1:16" s="12" customFormat="1" ht="15" customHeight="1" x14ac:dyDescent="0.45">
      <c r="A40" s="698"/>
      <c r="B40" s="148">
        <f t="shared" si="5"/>
        <v>5</v>
      </c>
      <c r="C40" s="28" t="str">
        <f t="shared" si="3"/>
        <v>.bit 5</v>
      </c>
      <c r="D40" s="15" t="s">
        <v>424</v>
      </c>
      <c r="E40" s="158" t="str">
        <f t="shared" si="4"/>
        <v>0x0D5</v>
      </c>
      <c r="F40" s="15" t="s">
        <v>596</v>
      </c>
      <c r="G40" s="495" t="s">
        <v>923</v>
      </c>
      <c r="H40" s="289" t="s">
        <v>923</v>
      </c>
      <c r="I40" s="720"/>
      <c r="J40" s="289" t="s">
        <v>922</v>
      </c>
      <c r="K40" s="289" t="s">
        <v>919</v>
      </c>
      <c r="L40" s="287">
        <v>1</v>
      </c>
      <c r="M40" s="31"/>
      <c r="N40" s="611" t="s">
        <v>9</v>
      </c>
      <c r="O40" s="15" t="s">
        <v>424</v>
      </c>
      <c r="P40" s="610" t="s">
        <v>971</v>
      </c>
    </row>
    <row r="41" spans="1:16" s="12" customFormat="1" ht="15" customHeight="1" x14ac:dyDescent="0.45">
      <c r="A41" s="698"/>
      <c r="B41" s="148">
        <f t="shared" si="5"/>
        <v>6</v>
      </c>
      <c r="C41" s="28" t="str">
        <f t="shared" si="3"/>
        <v>.bit 6</v>
      </c>
      <c r="D41" s="15" t="s">
        <v>425</v>
      </c>
      <c r="E41" s="158" t="str">
        <f t="shared" si="4"/>
        <v>0x0D6</v>
      </c>
      <c r="F41" s="15" t="s">
        <v>597</v>
      </c>
      <c r="G41" s="495" t="s">
        <v>923</v>
      </c>
      <c r="H41" s="289" t="s">
        <v>923</v>
      </c>
      <c r="I41" s="720"/>
      <c r="J41" s="289" t="s">
        <v>922</v>
      </c>
      <c r="K41" s="289" t="s">
        <v>605</v>
      </c>
      <c r="L41" s="287">
        <v>0</v>
      </c>
      <c r="M41" s="31"/>
      <c r="N41" s="611" t="s">
        <v>10</v>
      </c>
      <c r="O41" s="15" t="s">
        <v>425</v>
      </c>
      <c r="P41" s="610" t="s">
        <v>972</v>
      </c>
    </row>
    <row r="42" spans="1:16" s="12" customFormat="1" ht="15" customHeight="1" x14ac:dyDescent="0.45">
      <c r="A42" s="698"/>
      <c r="B42" s="148">
        <f t="shared" si="5"/>
        <v>7</v>
      </c>
      <c r="C42" s="28" t="str">
        <f t="shared" si="3"/>
        <v>.bit 7</v>
      </c>
      <c r="D42" s="15" t="s">
        <v>120</v>
      </c>
      <c r="E42" s="158" t="str">
        <f t="shared" si="4"/>
        <v>0x0D7</v>
      </c>
      <c r="F42" s="15" t="s">
        <v>598</v>
      </c>
      <c r="G42" s="495" t="s">
        <v>923</v>
      </c>
      <c r="H42" s="289" t="s">
        <v>923</v>
      </c>
      <c r="I42" s="720"/>
      <c r="J42" s="289" t="s">
        <v>922</v>
      </c>
      <c r="K42" s="289" t="s">
        <v>919</v>
      </c>
      <c r="L42" s="287">
        <v>0</v>
      </c>
      <c r="M42" s="31"/>
      <c r="N42" s="611" t="s">
        <v>12</v>
      </c>
      <c r="O42" s="15" t="s">
        <v>120</v>
      </c>
      <c r="P42" s="610" t="s">
        <v>973</v>
      </c>
    </row>
    <row r="43" spans="1:16" s="12" customFormat="1" ht="15" customHeight="1" x14ac:dyDescent="0.45">
      <c r="A43" s="698"/>
      <c r="B43" s="148">
        <f t="shared" si="5"/>
        <v>8</v>
      </c>
      <c r="C43" s="28" t="str">
        <f t="shared" si="3"/>
        <v>.bit 8</v>
      </c>
      <c r="D43" s="15" t="s">
        <v>426</v>
      </c>
      <c r="E43" s="158" t="str">
        <f t="shared" si="4"/>
        <v>0x0D8</v>
      </c>
      <c r="F43" s="15" t="s">
        <v>599</v>
      </c>
      <c r="G43" s="495" t="s">
        <v>923</v>
      </c>
      <c r="H43" s="289" t="s">
        <v>923</v>
      </c>
      <c r="I43" s="720"/>
      <c r="J43" s="289" t="s">
        <v>922</v>
      </c>
      <c r="K43" s="289" t="s">
        <v>919</v>
      </c>
      <c r="L43" s="287">
        <v>0</v>
      </c>
      <c r="M43" s="31"/>
      <c r="N43" s="611" t="s">
        <v>13</v>
      </c>
      <c r="O43" s="15" t="s">
        <v>426</v>
      </c>
      <c r="P43" s="610" t="s">
        <v>974</v>
      </c>
    </row>
    <row r="44" spans="1:16" s="12" customFormat="1" ht="15" customHeight="1" x14ac:dyDescent="0.45">
      <c r="A44" s="698"/>
      <c r="B44" s="148">
        <f t="shared" si="5"/>
        <v>9</v>
      </c>
      <c r="C44" s="28" t="str">
        <f t="shared" si="3"/>
        <v>.bit 9</v>
      </c>
      <c r="D44" s="15" t="s">
        <v>910</v>
      </c>
      <c r="E44" s="158" t="str">
        <f t="shared" si="4"/>
        <v>0x0D9</v>
      </c>
      <c r="F44" s="15" t="s">
        <v>915</v>
      </c>
      <c r="G44" s="495" t="s">
        <v>923</v>
      </c>
      <c r="H44" s="289" t="s">
        <v>923</v>
      </c>
      <c r="I44" s="720"/>
      <c r="J44" s="289" t="s">
        <v>922</v>
      </c>
      <c r="K44" s="289" t="s">
        <v>919</v>
      </c>
      <c r="L44" s="287">
        <v>1</v>
      </c>
      <c r="M44" s="31"/>
      <c r="N44" s="611" t="s">
        <v>14</v>
      </c>
      <c r="O44" s="15" t="s">
        <v>944</v>
      </c>
      <c r="P44" s="610" t="s">
        <v>975</v>
      </c>
    </row>
    <row r="45" spans="1:16" s="12" customFormat="1" ht="15" customHeight="1" x14ac:dyDescent="0.45">
      <c r="A45" s="698"/>
      <c r="B45" s="148">
        <f t="shared" si="5"/>
        <v>10</v>
      </c>
      <c r="C45" s="28" t="str">
        <f t="shared" si="3"/>
        <v>.bit 10</v>
      </c>
      <c r="D45" s="15"/>
      <c r="E45" s="158" t="str">
        <f t="shared" si="4"/>
        <v>0x0DA</v>
      </c>
      <c r="F45" s="15"/>
      <c r="G45" s="495"/>
      <c r="H45" s="289"/>
      <c r="I45" s="720"/>
      <c r="J45" s="289"/>
      <c r="K45" s="289"/>
      <c r="L45" s="287"/>
      <c r="M45" s="31"/>
      <c r="N45" s="611" t="s">
        <v>15</v>
      </c>
      <c r="O45" s="15" t="s">
        <v>945</v>
      </c>
      <c r="P45" s="610" t="s">
        <v>976</v>
      </c>
    </row>
    <row r="46" spans="1:16" s="12" customFormat="1" ht="15" customHeight="1" x14ac:dyDescent="0.45">
      <c r="A46" s="698"/>
      <c r="B46" s="148">
        <f t="shared" si="5"/>
        <v>11</v>
      </c>
      <c r="C46" s="28" t="str">
        <f t="shared" si="3"/>
        <v>.bit 11</v>
      </c>
      <c r="D46" s="31" t="s">
        <v>600</v>
      </c>
      <c r="E46" s="158" t="str">
        <f t="shared" si="4"/>
        <v>0x0DB</v>
      </c>
      <c r="F46" s="31" t="s">
        <v>601</v>
      </c>
      <c r="G46" s="495" t="s">
        <v>923</v>
      </c>
      <c r="H46" s="289" t="s">
        <v>923</v>
      </c>
      <c r="I46" s="720"/>
      <c r="J46" s="289" t="s">
        <v>922</v>
      </c>
      <c r="K46" s="289" t="s">
        <v>919</v>
      </c>
      <c r="L46" s="287">
        <v>1</v>
      </c>
      <c r="M46" s="31"/>
      <c r="N46" s="611" t="s">
        <v>16</v>
      </c>
      <c r="O46" s="31" t="s">
        <v>600</v>
      </c>
      <c r="P46" s="610" t="s">
        <v>977</v>
      </c>
    </row>
    <row r="47" spans="1:16" s="12" customFormat="1" ht="15" customHeight="1" x14ac:dyDescent="0.45">
      <c r="A47" s="698"/>
      <c r="B47" s="148">
        <f t="shared" si="5"/>
        <v>12</v>
      </c>
      <c r="C47" s="28" t="str">
        <f t="shared" si="3"/>
        <v>.bit 12</v>
      </c>
      <c r="D47" s="15" t="s">
        <v>911</v>
      </c>
      <c r="E47" s="158" t="str">
        <f t="shared" si="4"/>
        <v>0x0DC</v>
      </c>
      <c r="F47" s="15" t="s">
        <v>602</v>
      </c>
      <c r="G47" s="495" t="s">
        <v>923</v>
      </c>
      <c r="H47" s="289" t="s">
        <v>923</v>
      </c>
      <c r="I47" s="720"/>
      <c r="J47" s="289" t="s">
        <v>922</v>
      </c>
      <c r="K47" s="289" t="s">
        <v>919</v>
      </c>
      <c r="L47" s="287">
        <v>0</v>
      </c>
      <c r="M47" s="31"/>
      <c r="N47" s="611" t="s">
        <v>17</v>
      </c>
      <c r="O47" s="15" t="s">
        <v>947</v>
      </c>
      <c r="P47" s="610" t="s">
        <v>978</v>
      </c>
    </row>
    <row r="48" spans="1:16" s="12" customFormat="1" ht="15" customHeight="1" x14ac:dyDescent="0.45">
      <c r="A48" s="698"/>
      <c r="B48" s="148">
        <f t="shared" si="5"/>
        <v>13</v>
      </c>
      <c r="C48" s="28" t="str">
        <f t="shared" si="3"/>
        <v>.bit 13</v>
      </c>
      <c r="D48" s="15" t="s">
        <v>912</v>
      </c>
      <c r="E48" s="158" t="str">
        <f t="shared" si="4"/>
        <v>0x0DD</v>
      </c>
      <c r="F48" s="15" t="s">
        <v>916</v>
      </c>
      <c r="G48" s="495" t="s">
        <v>923</v>
      </c>
      <c r="H48" s="289" t="s">
        <v>923</v>
      </c>
      <c r="I48" s="720"/>
      <c r="J48" s="289" t="s">
        <v>922</v>
      </c>
      <c r="K48" s="289" t="s">
        <v>919</v>
      </c>
      <c r="L48" s="287">
        <v>1</v>
      </c>
      <c r="M48" s="31"/>
      <c r="N48" s="611" t="s">
        <v>18</v>
      </c>
      <c r="O48" s="15" t="s">
        <v>946</v>
      </c>
      <c r="P48" s="610" t="s">
        <v>979</v>
      </c>
    </row>
    <row r="49" spans="1:17" s="12" customFormat="1" ht="15" customHeight="1" x14ac:dyDescent="0.45">
      <c r="A49" s="698"/>
      <c r="B49" s="148">
        <f t="shared" si="5"/>
        <v>14</v>
      </c>
      <c r="C49" s="28" t="str">
        <f t="shared" si="3"/>
        <v>.bit 14</v>
      </c>
      <c r="D49" s="15"/>
      <c r="E49" s="158" t="str">
        <f t="shared" si="4"/>
        <v>0x0DE</v>
      </c>
      <c r="F49" s="31"/>
      <c r="G49" s="495"/>
      <c r="H49" s="289"/>
      <c r="I49" s="720"/>
      <c r="J49" s="289"/>
      <c r="K49" s="289"/>
      <c r="L49" s="287"/>
      <c r="M49" s="31"/>
      <c r="N49" s="611" t="s">
        <v>19</v>
      </c>
      <c r="O49" s="15" t="s">
        <v>948</v>
      </c>
      <c r="P49" s="610" t="s">
        <v>980</v>
      </c>
    </row>
    <row r="50" spans="1:17" s="12" customFormat="1" ht="15" customHeight="1" x14ac:dyDescent="0.45">
      <c r="A50" s="698"/>
      <c r="B50" s="45">
        <f t="shared" si="5"/>
        <v>15</v>
      </c>
      <c r="C50" s="46" t="str">
        <f t="shared" si="3"/>
        <v>.bit 15</v>
      </c>
      <c r="D50" s="15" t="s">
        <v>784</v>
      </c>
      <c r="E50" s="158" t="str">
        <f t="shared" si="4"/>
        <v>0x0DF</v>
      </c>
      <c r="F50" s="31" t="s">
        <v>786</v>
      </c>
      <c r="G50" s="495" t="s">
        <v>923</v>
      </c>
      <c r="H50" s="289" t="s">
        <v>923</v>
      </c>
      <c r="I50" s="721"/>
      <c r="J50" s="289" t="s">
        <v>922</v>
      </c>
      <c r="K50" s="289" t="s">
        <v>605</v>
      </c>
      <c r="L50" s="287">
        <v>0</v>
      </c>
      <c r="M50" s="31"/>
      <c r="N50" s="612" t="s">
        <v>20</v>
      </c>
      <c r="O50" s="80" t="s">
        <v>965</v>
      </c>
      <c r="P50" s="613" t="s">
        <v>981</v>
      </c>
      <c r="Q50" s="12" t="s">
        <v>986</v>
      </c>
    </row>
    <row r="51" spans="1:17" s="12" customFormat="1" x14ac:dyDescent="0.45">
      <c r="A51" s="698"/>
      <c r="B51" s="149"/>
      <c r="C51" s="71"/>
      <c r="D51" s="71"/>
      <c r="E51" s="71"/>
      <c r="F51" s="272"/>
      <c r="G51" s="496"/>
      <c r="H51" s="207"/>
      <c r="I51" s="577"/>
      <c r="J51" s="207"/>
      <c r="K51" s="207"/>
      <c r="L51" s="290"/>
      <c r="M51" s="29"/>
      <c r="P51" s="13"/>
    </row>
    <row r="52" spans="1:17" s="12" customFormat="1" x14ac:dyDescent="0.45">
      <c r="A52" s="698"/>
      <c r="B52" s="444" t="s">
        <v>237</v>
      </c>
      <c r="C52" s="70" t="s">
        <v>49</v>
      </c>
      <c r="D52" s="71"/>
      <c r="E52" s="71"/>
      <c r="F52" s="76" t="s">
        <v>714</v>
      </c>
      <c r="G52" s="493" t="s">
        <v>923</v>
      </c>
      <c r="H52" s="203" t="s">
        <v>923</v>
      </c>
      <c r="I52" s="575"/>
      <c r="J52" s="203" t="s">
        <v>922</v>
      </c>
      <c r="K52" s="205" t="s">
        <v>605</v>
      </c>
      <c r="L52" s="291">
        <v>0</v>
      </c>
      <c r="M52" s="13"/>
      <c r="N52" s="607" t="s">
        <v>678</v>
      </c>
      <c r="O52" s="607" t="s">
        <v>681</v>
      </c>
    </row>
    <row r="53" spans="1:17" s="12" customFormat="1" x14ac:dyDescent="0.45">
      <c r="A53" s="700"/>
      <c r="B53" s="444" t="s">
        <v>238</v>
      </c>
      <c r="C53" s="70" t="s">
        <v>51</v>
      </c>
      <c r="D53" s="71"/>
      <c r="E53" s="71"/>
      <c r="F53" s="271" t="s">
        <v>587</v>
      </c>
      <c r="G53" s="494" t="s">
        <v>923</v>
      </c>
      <c r="H53" s="203" t="s">
        <v>923</v>
      </c>
      <c r="I53" s="576"/>
      <c r="J53" s="367" t="s">
        <v>922</v>
      </c>
      <c r="K53" s="378" t="s">
        <v>605</v>
      </c>
      <c r="L53" s="379">
        <v>0</v>
      </c>
      <c r="M53" s="4"/>
      <c r="N53" s="608">
        <v>0</v>
      </c>
      <c r="O53" s="607" t="s">
        <v>679</v>
      </c>
    </row>
    <row r="54" spans="1:17" s="12" customFormat="1" x14ac:dyDescent="0.45">
      <c r="A54" s="190"/>
      <c r="B54" s="13"/>
      <c r="C54" s="22"/>
      <c r="D54" s="15"/>
      <c r="E54" s="15"/>
      <c r="F54" s="13"/>
      <c r="G54" s="377"/>
      <c r="H54" s="377"/>
      <c r="I54" s="578"/>
      <c r="J54" s="377"/>
      <c r="K54" s="377"/>
      <c r="L54" s="380"/>
      <c r="M54" s="13"/>
      <c r="N54" s="88">
        <v>1</v>
      </c>
      <c r="O54" s="607" t="s">
        <v>682</v>
      </c>
    </row>
    <row r="55" spans="1:17" x14ac:dyDescent="0.45">
      <c r="G55" s="123"/>
      <c r="H55" s="123"/>
      <c r="I55" s="123"/>
      <c r="J55" s="120"/>
      <c r="K55" s="120"/>
      <c r="L55" s="292"/>
      <c r="M55" s="13"/>
      <c r="N55" s="607">
        <v>2</v>
      </c>
      <c r="O55" s="607" t="s">
        <v>680</v>
      </c>
      <c r="P55" t="s">
        <v>988</v>
      </c>
    </row>
    <row r="56" spans="1:17" ht="15" customHeight="1" x14ac:dyDescent="0.45">
      <c r="A56" s="636" t="s">
        <v>131</v>
      </c>
      <c r="B56" s="43" t="s">
        <v>330</v>
      </c>
      <c r="C56" s="121" t="str">
        <f>CONCATENATE("0x", DEC2HEX(HEX2DEC('inicio zonas'!$C$7)))</f>
        <v>0x20</v>
      </c>
      <c r="D56" s="162"/>
      <c r="E56" s="164"/>
      <c r="F56" s="161"/>
      <c r="G56" s="498"/>
      <c r="H56" s="517"/>
      <c r="I56" s="579"/>
      <c r="J56" s="209"/>
      <c r="K56" s="209"/>
      <c r="L56" s="293"/>
      <c r="M56" s="20"/>
      <c r="N56" s="11"/>
    </row>
    <row r="57" spans="1:17" x14ac:dyDescent="0.45">
      <c r="A57" s="637"/>
      <c r="B57" s="148">
        <v>0</v>
      </c>
      <c r="C57" s="28" t="str">
        <f t="shared" ref="C57:C72" si="6">CONCATENATE(".bit ", B57)</f>
        <v>.bit 0</v>
      </c>
      <c r="D57" s="13"/>
      <c r="E57" s="123" t="str">
        <f t="shared" ref="E57:E72" si="7">CONCATENATE($C$56,DEC2HEX(B57))</f>
        <v>0x200</v>
      </c>
      <c r="F57" s="274"/>
      <c r="G57" s="499"/>
      <c r="H57" s="518"/>
      <c r="I57" s="489"/>
      <c r="J57" s="260"/>
      <c r="K57" s="260"/>
      <c r="L57" s="294"/>
      <c r="M57" s="20"/>
      <c r="N57" s="11"/>
    </row>
    <row r="58" spans="1:17" x14ac:dyDescent="0.45">
      <c r="A58" s="637"/>
      <c r="B58" s="148">
        <f t="shared" ref="B58:B72" si="8">B57+1</f>
        <v>1</v>
      </c>
      <c r="C58" s="28" t="str">
        <f t="shared" si="6"/>
        <v>.bit 1</v>
      </c>
      <c r="D58" s="15" t="s">
        <v>496</v>
      </c>
      <c r="E58" s="123" t="str">
        <f t="shared" si="7"/>
        <v>0x201</v>
      </c>
      <c r="F58" s="274" t="s">
        <v>603</v>
      </c>
      <c r="G58" s="495" t="s">
        <v>923</v>
      </c>
      <c r="H58" s="289" t="s">
        <v>923</v>
      </c>
      <c r="I58" s="565"/>
      <c r="J58" s="260" t="s">
        <v>921</v>
      </c>
      <c r="K58" s="260" t="s">
        <v>605</v>
      </c>
      <c r="L58" s="294">
        <v>0</v>
      </c>
      <c r="M58" s="344"/>
      <c r="N58" s="11"/>
    </row>
    <row r="59" spans="1:17" x14ac:dyDescent="0.45">
      <c r="A59" s="637"/>
      <c r="B59" s="148">
        <f t="shared" si="8"/>
        <v>2</v>
      </c>
      <c r="C59" s="28" t="str">
        <f t="shared" si="6"/>
        <v>.bit 2</v>
      </c>
      <c r="D59" s="15" t="s">
        <v>773</v>
      </c>
      <c r="E59" s="123" t="str">
        <f t="shared" si="7"/>
        <v>0x202</v>
      </c>
      <c r="F59" s="701" t="s">
        <v>657</v>
      </c>
      <c r="G59" s="495" t="s">
        <v>923</v>
      </c>
      <c r="H59" s="289" t="s">
        <v>923</v>
      </c>
      <c r="I59" s="565"/>
      <c r="J59" s="260" t="s">
        <v>921</v>
      </c>
      <c r="K59" s="260" t="s">
        <v>919</v>
      </c>
      <c r="L59" s="294">
        <v>0</v>
      </c>
      <c r="M59" s="20"/>
      <c r="N59" s="11"/>
    </row>
    <row r="60" spans="1:17" x14ac:dyDescent="0.45">
      <c r="A60" s="637"/>
      <c r="B60" s="148">
        <f t="shared" si="8"/>
        <v>3</v>
      </c>
      <c r="C60" s="28" t="str">
        <f t="shared" si="6"/>
        <v>.bit 3</v>
      </c>
      <c r="D60" s="13" t="s">
        <v>904</v>
      </c>
      <c r="E60" s="123" t="str">
        <f t="shared" si="7"/>
        <v>0x203</v>
      </c>
      <c r="F60" s="701"/>
      <c r="G60" s="495" t="s">
        <v>923</v>
      </c>
      <c r="H60" s="289" t="s">
        <v>923</v>
      </c>
      <c r="I60" s="565" t="s">
        <v>655</v>
      </c>
      <c r="J60" s="260" t="s">
        <v>921</v>
      </c>
      <c r="K60" s="260" t="s">
        <v>919</v>
      </c>
      <c r="L60" s="294">
        <v>0</v>
      </c>
      <c r="M60" s="20"/>
      <c r="N60" s="11"/>
    </row>
    <row r="61" spans="1:17" x14ac:dyDescent="0.45">
      <c r="A61" s="637"/>
      <c r="B61" s="148">
        <f t="shared" si="8"/>
        <v>4</v>
      </c>
      <c r="C61" s="28" t="str">
        <f t="shared" si="6"/>
        <v>.bit 4</v>
      </c>
      <c r="D61" s="13"/>
      <c r="E61" s="123" t="str">
        <f t="shared" si="7"/>
        <v>0x204</v>
      </c>
      <c r="F61" s="274"/>
      <c r="G61" s="499"/>
      <c r="H61" s="518"/>
      <c r="I61" s="489"/>
      <c r="J61" s="260"/>
      <c r="K61" s="260"/>
      <c r="L61" s="294"/>
      <c r="M61" s="20"/>
      <c r="N61" s="11"/>
    </row>
    <row r="62" spans="1:17" x14ac:dyDescent="0.45">
      <c r="A62" s="637"/>
      <c r="B62" s="148">
        <f t="shared" si="8"/>
        <v>5</v>
      </c>
      <c r="C62" s="28" t="str">
        <f t="shared" si="6"/>
        <v>.bit 5</v>
      </c>
      <c r="D62" s="13"/>
      <c r="E62" s="123" t="str">
        <f t="shared" si="7"/>
        <v>0x205</v>
      </c>
      <c r="F62" s="274"/>
      <c r="G62" s="499"/>
      <c r="H62" s="518"/>
      <c r="I62" s="489"/>
      <c r="J62" s="260"/>
      <c r="K62" s="260"/>
      <c r="L62" s="294"/>
      <c r="M62" s="20"/>
      <c r="N62" s="11"/>
    </row>
    <row r="63" spans="1:17" x14ac:dyDescent="0.45">
      <c r="A63" s="637"/>
      <c r="B63" s="148">
        <f t="shared" si="8"/>
        <v>6</v>
      </c>
      <c r="C63" s="28" t="str">
        <f t="shared" si="6"/>
        <v>.bit 6</v>
      </c>
      <c r="D63" s="15"/>
      <c r="E63" s="123" t="str">
        <f t="shared" si="7"/>
        <v>0x206</v>
      </c>
      <c r="F63" s="274"/>
      <c r="G63" s="499"/>
      <c r="H63" s="518"/>
      <c r="I63" s="489"/>
      <c r="J63" s="260"/>
      <c r="K63" s="260"/>
      <c r="L63" s="294"/>
      <c r="M63" s="20"/>
      <c r="N63" s="11"/>
    </row>
    <row r="64" spans="1:17" x14ac:dyDescent="0.45">
      <c r="A64" s="637"/>
      <c r="B64" s="148">
        <f t="shared" si="8"/>
        <v>7</v>
      </c>
      <c r="C64" s="28" t="str">
        <f t="shared" si="6"/>
        <v>.bit 7</v>
      </c>
      <c r="D64" s="15"/>
      <c r="E64" s="123" t="str">
        <f t="shared" si="7"/>
        <v>0x207</v>
      </c>
      <c r="F64" s="274"/>
      <c r="G64" s="499"/>
      <c r="H64" s="518"/>
      <c r="I64" s="489"/>
      <c r="J64" s="260"/>
      <c r="K64" s="260"/>
      <c r="L64" s="294"/>
      <c r="M64" s="20"/>
      <c r="N64" s="11"/>
    </row>
    <row r="65" spans="1:17" x14ac:dyDescent="0.45">
      <c r="A65" s="637"/>
      <c r="B65" s="148">
        <f t="shared" si="8"/>
        <v>8</v>
      </c>
      <c r="C65" s="28" t="str">
        <f t="shared" si="6"/>
        <v>.bit 8</v>
      </c>
      <c r="D65" s="15"/>
      <c r="E65" s="123" t="str">
        <f t="shared" si="7"/>
        <v>0x208</v>
      </c>
      <c r="F65" s="274"/>
      <c r="G65" s="499"/>
      <c r="H65" s="518"/>
      <c r="I65" s="489"/>
      <c r="J65" s="260"/>
      <c r="K65" s="260"/>
      <c r="L65" s="294"/>
      <c r="M65" s="20"/>
      <c r="N65" s="11"/>
    </row>
    <row r="66" spans="1:17" x14ac:dyDescent="0.45">
      <c r="A66" s="637"/>
      <c r="B66" s="148">
        <f t="shared" si="8"/>
        <v>9</v>
      </c>
      <c r="C66" s="28" t="str">
        <f t="shared" si="6"/>
        <v>.bit 9</v>
      </c>
      <c r="D66" s="20"/>
      <c r="E66" s="123" t="str">
        <f t="shared" si="7"/>
        <v>0x209</v>
      </c>
      <c r="F66" s="274"/>
      <c r="G66" s="499"/>
      <c r="H66" s="518"/>
      <c r="I66" s="489"/>
      <c r="J66" s="260"/>
      <c r="K66" s="260"/>
      <c r="L66" s="294"/>
      <c r="M66" s="20"/>
      <c r="N66" s="11"/>
    </row>
    <row r="67" spans="1:17" x14ac:dyDescent="0.45">
      <c r="A67" s="637"/>
      <c r="B67" s="148">
        <f t="shared" si="8"/>
        <v>10</v>
      </c>
      <c r="C67" s="28" t="str">
        <f t="shared" si="6"/>
        <v>.bit 10</v>
      </c>
      <c r="D67" s="119"/>
      <c r="E67" s="123" t="str">
        <f t="shared" si="7"/>
        <v>0x20A</v>
      </c>
      <c r="F67" s="274"/>
      <c r="G67" s="499"/>
      <c r="H67" s="518"/>
      <c r="I67" s="489"/>
      <c r="J67" s="260"/>
      <c r="K67" s="260"/>
      <c r="L67" s="294"/>
      <c r="M67" s="20"/>
      <c r="N67" s="11"/>
    </row>
    <row r="68" spans="1:17" x14ac:dyDescent="0.45">
      <c r="A68" s="637"/>
      <c r="B68" s="148">
        <f t="shared" si="8"/>
        <v>11</v>
      </c>
      <c r="C68" s="28" t="str">
        <f t="shared" si="6"/>
        <v>.bit 11</v>
      </c>
      <c r="D68" s="13"/>
      <c r="E68" s="123" t="str">
        <f t="shared" si="7"/>
        <v>0x20B</v>
      </c>
      <c r="F68" s="274"/>
      <c r="G68" s="499"/>
      <c r="H68" s="518"/>
      <c r="I68" s="489"/>
      <c r="J68" s="260"/>
      <c r="K68" s="260"/>
      <c r="L68" s="294"/>
      <c r="M68" s="20"/>
      <c r="N68" s="11"/>
    </row>
    <row r="69" spans="1:17" x14ac:dyDescent="0.45">
      <c r="A69" s="637"/>
      <c r="B69" s="148">
        <f t="shared" si="8"/>
        <v>12</v>
      </c>
      <c r="C69" s="28" t="str">
        <f t="shared" si="6"/>
        <v>.bit 12</v>
      </c>
      <c r="D69" s="13" t="s">
        <v>776</v>
      </c>
      <c r="E69" s="123" t="str">
        <f t="shared" si="7"/>
        <v>0x20C</v>
      </c>
      <c r="F69" s="274"/>
      <c r="G69" s="495" t="s">
        <v>923</v>
      </c>
      <c r="H69" s="289" t="s">
        <v>923</v>
      </c>
      <c r="I69" s="565"/>
      <c r="J69" s="260" t="s">
        <v>921</v>
      </c>
      <c r="K69" s="260" t="s">
        <v>777</v>
      </c>
      <c r="L69" s="294">
        <v>0</v>
      </c>
      <c r="M69" s="20"/>
      <c r="N69" s="11"/>
    </row>
    <row r="70" spans="1:17" x14ac:dyDescent="0.45">
      <c r="A70" s="637"/>
      <c r="B70" s="148">
        <f t="shared" si="8"/>
        <v>13</v>
      </c>
      <c r="C70" s="28" t="str">
        <f t="shared" si="6"/>
        <v>.bit 13</v>
      </c>
      <c r="D70" s="13" t="s">
        <v>775</v>
      </c>
      <c r="E70" s="123" t="str">
        <f t="shared" si="7"/>
        <v>0x20D</v>
      </c>
      <c r="F70" s="274"/>
      <c r="G70" s="495" t="s">
        <v>923</v>
      </c>
      <c r="H70" s="289" t="s">
        <v>923</v>
      </c>
      <c r="I70" s="565"/>
      <c r="J70" s="260" t="s">
        <v>921</v>
      </c>
      <c r="K70" s="260" t="s">
        <v>777</v>
      </c>
      <c r="L70" s="294">
        <v>0</v>
      </c>
      <c r="M70" s="20"/>
      <c r="N70" s="11"/>
    </row>
    <row r="71" spans="1:17" x14ac:dyDescent="0.45">
      <c r="A71" s="637"/>
      <c r="B71" s="148">
        <f t="shared" si="8"/>
        <v>14</v>
      </c>
      <c r="C71" s="28" t="str">
        <f t="shared" si="6"/>
        <v>.bit 14</v>
      </c>
      <c r="D71" s="13" t="s">
        <v>774</v>
      </c>
      <c r="E71" s="123" t="str">
        <f t="shared" si="7"/>
        <v>0x20E</v>
      </c>
      <c r="F71" s="274"/>
      <c r="G71" s="495" t="s">
        <v>923</v>
      </c>
      <c r="H71" s="289" t="s">
        <v>923</v>
      </c>
      <c r="I71" s="565"/>
      <c r="J71" s="260" t="s">
        <v>921</v>
      </c>
      <c r="K71" s="260" t="s">
        <v>777</v>
      </c>
      <c r="L71" s="294">
        <v>0</v>
      </c>
      <c r="M71" s="20"/>
      <c r="N71" s="11"/>
    </row>
    <row r="72" spans="1:17" x14ac:dyDescent="0.45">
      <c r="A72" s="637"/>
      <c r="B72" s="45">
        <f t="shared" si="8"/>
        <v>15</v>
      </c>
      <c r="C72" s="46" t="str">
        <f t="shared" si="6"/>
        <v>.bit 15</v>
      </c>
      <c r="D72" s="49" t="s">
        <v>329</v>
      </c>
      <c r="E72" s="125" t="str">
        <f t="shared" si="7"/>
        <v>0x20F</v>
      </c>
      <c r="F72" s="163" t="s">
        <v>604</v>
      </c>
      <c r="G72" s="500" t="s">
        <v>923</v>
      </c>
      <c r="H72" s="519" t="s">
        <v>923</v>
      </c>
      <c r="I72" s="580"/>
      <c r="J72" s="210" t="s">
        <v>921</v>
      </c>
      <c r="K72" s="212" t="s">
        <v>777</v>
      </c>
      <c r="L72" s="295">
        <v>0</v>
      </c>
      <c r="M72" s="20"/>
      <c r="N72" s="11"/>
    </row>
    <row r="73" spans="1:17" x14ac:dyDescent="0.45">
      <c r="A73" s="637"/>
      <c r="B73" s="154"/>
      <c r="C73" s="155"/>
      <c r="D73" s="156"/>
      <c r="E73" s="157"/>
      <c r="F73" s="160"/>
      <c r="G73" s="296"/>
      <c r="H73" s="160"/>
      <c r="I73" s="157"/>
      <c r="J73" s="114"/>
      <c r="K73" s="114"/>
      <c r="L73" s="297"/>
      <c r="M73" s="20"/>
      <c r="N73" s="11"/>
    </row>
    <row r="74" spans="1:17" x14ac:dyDescent="0.45">
      <c r="A74" s="637"/>
      <c r="B74" s="444" t="s">
        <v>111</v>
      </c>
      <c r="C74" s="129" t="str">
        <f>CONCATENATE("0x", DEC2HEX(2+HEX2DEC('inicio zonas'!$C$7)))</f>
        <v>0x22</v>
      </c>
      <c r="D74" s="60"/>
      <c r="E74" s="108"/>
      <c r="F74" s="57" t="s">
        <v>261</v>
      </c>
      <c r="G74" s="493" t="s">
        <v>923</v>
      </c>
      <c r="H74" s="203" t="s">
        <v>923</v>
      </c>
      <c r="I74" s="575"/>
      <c r="J74" s="203" t="s">
        <v>921</v>
      </c>
      <c r="K74" s="298" t="s">
        <v>605</v>
      </c>
      <c r="L74" s="299">
        <v>0</v>
      </c>
      <c r="M74" s="20"/>
      <c r="N74" s="11"/>
    </row>
    <row r="75" spans="1:17" x14ac:dyDescent="0.45">
      <c r="A75" s="637"/>
      <c r="B75" s="149"/>
      <c r="C75" s="150"/>
      <c r="D75" s="60"/>
      <c r="E75" s="108"/>
      <c r="F75" s="83"/>
      <c r="G75" s="300"/>
      <c r="H75" s="83"/>
      <c r="I75" s="108"/>
      <c r="J75" s="107"/>
      <c r="K75" s="107"/>
      <c r="L75" s="301"/>
      <c r="M75" s="20"/>
      <c r="N75" s="11"/>
    </row>
    <row r="76" spans="1:17" x14ac:dyDescent="0.45">
      <c r="A76" s="637"/>
      <c r="B76" s="101" t="s">
        <v>257</v>
      </c>
      <c r="C76" s="139" t="str">
        <f>CONCATENATE("0x", DEC2HEX(4+HEX2DEC('inicio zonas'!$C$7)))</f>
        <v>0x24</v>
      </c>
      <c r="D76" s="13"/>
      <c r="E76" s="4"/>
      <c r="F76" s="275"/>
      <c r="G76" s="494"/>
      <c r="H76" s="367"/>
      <c r="I76" s="576"/>
      <c r="J76" s="211"/>
      <c r="K76" s="211"/>
      <c r="L76" s="302"/>
      <c r="M76" s="20"/>
      <c r="N76" s="11"/>
    </row>
    <row r="77" spans="1:17" x14ac:dyDescent="0.45">
      <c r="A77" s="637"/>
      <c r="B77" s="44">
        <v>0</v>
      </c>
      <c r="C77" s="28" t="str">
        <f t="shared" ref="C77:C92" si="9">CONCATENATE(".bit ", B77)</f>
        <v>.bit 0</v>
      </c>
      <c r="D77" s="15" t="s">
        <v>104</v>
      </c>
      <c r="E77" s="123" t="str">
        <f t="shared" ref="E77:E92" si="10">CONCATENATE($C$76,DEC2HEX(B77))</f>
        <v>0x240</v>
      </c>
      <c r="F77" s="276" t="s">
        <v>633</v>
      </c>
      <c r="G77" s="495" t="s">
        <v>923</v>
      </c>
      <c r="H77" s="289" t="s">
        <v>923</v>
      </c>
      <c r="I77" s="565"/>
      <c r="J77" s="289" t="s">
        <v>921</v>
      </c>
      <c r="K77" s="298" t="s">
        <v>928</v>
      </c>
      <c r="L77" s="303">
        <v>0</v>
      </c>
      <c r="M77" s="21"/>
      <c r="N77" s="11"/>
      <c r="Q77" s="13"/>
    </row>
    <row r="78" spans="1:17" x14ac:dyDescent="0.45">
      <c r="A78" s="637"/>
      <c r="B78" s="44">
        <f t="shared" ref="B78:B83" si="11">B77+1</f>
        <v>1</v>
      </c>
      <c r="C78" s="28" t="str">
        <f t="shared" si="9"/>
        <v>.bit 1</v>
      </c>
      <c r="D78" s="15" t="s">
        <v>631</v>
      </c>
      <c r="E78" s="123" t="str">
        <f t="shared" si="10"/>
        <v>0x241</v>
      </c>
      <c r="F78" s="277" t="s">
        <v>311</v>
      </c>
      <c r="G78" s="495" t="s">
        <v>923</v>
      </c>
      <c r="H78" s="254" t="s">
        <v>924</v>
      </c>
      <c r="I78" s="251"/>
      <c r="J78" s="289" t="s">
        <v>921</v>
      </c>
      <c r="K78" s="298" t="s">
        <v>928</v>
      </c>
      <c r="L78" s="303">
        <v>0</v>
      </c>
      <c r="M78" s="21"/>
      <c r="N78" s="11"/>
      <c r="Q78" s="15"/>
    </row>
    <row r="79" spans="1:17" x14ac:dyDescent="0.45">
      <c r="A79" s="637"/>
      <c r="B79" s="44">
        <f t="shared" si="11"/>
        <v>2</v>
      </c>
      <c r="C79" s="28" t="str">
        <f t="shared" si="9"/>
        <v>.bit 2</v>
      </c>
      <c r="D79" s="128" t="s">
        <v>632</v>
      </c>
      <c r="E79" s="123" t="str">
        <f t="shared" si="10"/>
        <v>0x242</v>
      </c>
      <c r="F79" s="277" t="s">
        <v>318</v>
      </c>
      <c r="G79" s="495" t="s">
        <v>923</v>
      </c>
      <c r="H79" s="289" t="s">
        <v>923</v>
      </c>
      <c r="I79" s="565"/>
      <c r="J79" s="289" t="s">
        <v>921</v>
      </c>
      <c r="K79" s="298" t="s">
        <v>928</v>
      </c>
      <c r="L79" s="303">
        <v>0</v>
      </c>
      <c r="M79" s="21"/>
      <c r="N79" s="11"/>
      <c r="Q79" s="15"/>
    </row>
    <row r="80" spans="1:17" x14ac:dyDescent="0.45">
      <c r="A80" s="637"/>
      <c r="B80" s="44">
        <f t="shared" si="11"/>
        <v>3</v>
      </c>
      <c r="C80" s="28" t="str">
        <f t="shared" si="9"/>
        <v>.bit 3</v>
      </c>
      <c r="D80" s="119"/>
      <c r="E80" s="123" t="str">
        <f t="shared" si="10"/>
        <v>0x243</v>
      </c>
      <c r="F80" s="277"/>
      <c r="G80" s="372"/>
      <c r="H80" s="249"/>
      <c r="I80" s="251"/>
      <c r="J80" s="289"/>
      <c r="K80" s="310"/>
      <c r="L80" s="303"/>
      <c r="N80" s="11"/>
      <c r="Q80" s="13"/>
    </row>
    <row r="81" spans="1:17" x14ac:dyDescent="0.45">
      <c r="A81" s="637"/>
      <c r="B81" s="44">
        <f t="shared" si="11"/>
        <v>4</v>
      </c>
      <c r="C81" s="28" t="str">
        <f t="shared" si="9"/>
        <v>.bit 4</v>
      </c>
      <c r="D81" s="13"/>
      <c r="E81" s="123" t="str">
        <f t="shared" si="10"/>
        <v>0x244</v>
      </c>
      <c r="F81" s="276"/>
      <c r="G81" s="506"/>
      <c r="H81" s="523"/>
      <c r="I81" s="581"/>
      <c r="J81" s="310"/>
      <c r="K81" s="310"/>
      <c r="L81" s="303"/>
      <c r="M81" s="21"/>
      <c r="N81" s="11"/>
      <c r="Q81" s="13"/>
    </row>
    <row r="82" spans="1:17" x14ac:dyDescent="0.45">
      <c r="A82" s="637"/>
      <c r="B82" s="44">
        <f t="shared" si="11"/>
        <v>5</v>
      </c>
      <c r="C82" s="28" t="str">
        <f t="shared" si="9"/>
        <v>.bit 5</v>
      </c>
      <c r="D82" s="13"/>
      <c r="E82" s="123" t="str">
        <f t="shared" si="10"/>
        <v>0x245</v>
      </c>
      <c r="F82" s="276"/>
      <c r="G82" s="506"/>
      <c r="H82" s="523"/>
      <c r="I82" s="581"/>
      <c r="J82" s="310"/>
      <c r="K82" s="310"/>
      <c r="L82" s="303"/>
      <c r="M82" s="21"/>
      <c r="N82" s="11"/>
      <c r="Q82" s="13"/>
    </row>
    <row r="83" spans="1:17" x14ac:dyDescent="0.45">
      <c r="A83" s="637"/>
      <c r="B83" s="44">
        <f t="shared" si="11"/>
        <v>6</v>
      </c>
      <c r="C83" s="28" t="str">
        <f t="shared" si="9"/>
        <v>.bit 6</v>
      </c>
      <c r="D83" s="13"/>
      <c r="E83" s="123" t="str">
        <f t="shared" si="10"/>
        <v>0x246</v>
      </c>
      <c r="F83" s="276"/>
      <c r="G83" s="506"/>
      <c r="H83" s="523"/>
      <c r="I83" s="581"/>
      <c r="J83" s="310"/>
      <c r="K83" s="310"/>
      <c r="L83" s="303"/>
      <c r="M83" s="21"/>
      <c r="N83" s="11"/>
      <c r="Q83" s="13"/>
    </row>
    <row r="84" spans="1:17" x14ac:dyDescent="0.45">
      <c r="A84" s="637"/>
      <c r="B84" s="44"/>
      <c r="C84" s="28" t="str">
        <f t="shared" si="9"/>
        <v xml:space="preserve">.bit </v>
      </c>
      <c r="D84" s="13"/>
      <c r="E84" s="123" t="str">
        <f t="shared" si="10"/>
        <v>0x240</v>
      </c>
      <c r="F84" s="276"/>
      <c r="G84" s="506"/>
      <c r="H84" s="523"/>
      <c r="I84" s="581"/>
      <c r="J84" s="310"/>
      <c r="K84" s="310"/>
      <c r="L84" s="303"/>
      <c r="M84" s="21"/>
      <c r="N84" s="11"/>
      <c r="Q84" s="13"/>
    </row>
    <row r="85" spans="1:17" x14ac:dyDescent="0.45">
      <c r="A85" s="637"/>
      <c r="B85" s="44">
        <f t="shared" ref="B85:B92" si="12">B84+1</f>
        <v>1</v>
      </c>
      <c r="C85" s="28" t="str">
        <f t="shared" si="9"/>
        <v>.bit 1</v>
      </c>
      <c r="D85" s="13"/>
      <c r="E85" s="123" t="str">
        <f t="shared" si="10"/>
        <v>0x241</v>
      </c>
      <c r="F85" s="276"/>
      <c r="G85" s="506"/>
      <c r="H85" s="523"/>
      <c r="I85" s="581"/>
      <c r="J85" s="310"/>
      <c r="K85" s="310"/>
      <c r="L85" s="303"/>
      <c r="M85" s="21"/>
      <c r="N85" s="11"/>
      <c r="Q85" s="13"/>
    </row>
    <row r="86" spans="1:17" x14ac:dyDescent="0.45">
      <c r="A86" s="637"/>
      <c r="B86" s="44">
        <f t="shared" si="12"/>
        <v>2</v>
      </c>
      <c r="C86" s="28" t="str">
        <f t="shared" si="9"/>
        <v>.bit 2</v>
      </c>
      <c r="D86" s="13"/>
      <c r="E86" s="123" t="str">
        <f t="shared" si="10"/>
        <v>0x242</v>
      </c>
      <c r="F86" s="276"/>
      <c r="G86" s="506"/>
      <c r="H86" s="523"/>
      <c r="I86" s="581"/>
      <c r="J86" s="310"/>
      <c r="K86" s="310"/>
      <c r="L86" s="303"/>
      <c r="M86" s="21"/>
      <c r="N86" s="11"/>
      <c r="Q86" s="13"/>
    </row>
    <row r="87" spans="1:17" x14ac:dyDescent="0.45">
      <c r="A87" s="637"/>
      <c r="B87" s="44">
        <f t="shared" si="12"/>
        <v>3</v>
      </c>
      <c r="C87" s="28" t="str">
        <f t="shared" si="9"/>
        <v>.bit 3</v>
      </c>
      <c r="D87" s="13"/>
      <c r="E87" s="123" t="str">
        <f t="shared" si="10"/>
        <v>0x243</v>
      </c>
      <c r="F87" s="276"/>
      <c r="G87" s="506"/>
      <c r="H87" s="523"/>
      <c r="I87" s="581"/>
      <c r="J87" s="310"/>
      <c r="K87" s="310"/>
      <c r="L87" s="303"/>
      <c r="M87" s="21"/>
      <c r="N87" s="11"/>
      <c r="Q87" s="13"/>
    </row>
    <row r="88" spans="1:17" x14ac:dyDescent="0.45">
      <c r="A88" s="637"/>
      <c r="B88" s="44">
        <f t="shared" si="12"/>
        <v>4</v>
      </c>
      <c r="C88" s="28" t="str">
        <f t="shared" si="9"/>
        <v>.bit 4</v>
      </c>
      <c r="D88" s="13"/>
      <c r="E88" s="123" t="str">
        <f t="shared" si="10"/>
        <v>0x244</v>
      </c>
      <c r="F88" s="276"/>
      <c r="G88" s="506"/>
      <c r="H88" s="523"/>
      <c r="I88" s="581"/>
      <c r="J88" s="310"/>
      <c r="K88" s="310"/>
      <c r="L88" s="303"/>
      <c r="M88" s="21"/>
      <c r="N88" s="11"/>
      <c r="Q88" s="13"/>
    </row>
    <row r="89" spans="1:17" x14ac:dyDescent="0.45">
      <c r="A89" s="637"/>
      <c r="B89" s="44">
        <f t="shared" si="12"/>
        <v>5</v>
      </c>
      <c r="C89" s="28" t="str">
        <f t="shared" si="9"/>
        <v>.bit 5</v>
      </c>
      <c r="D89" s="13"/>
      <c r="E89" s="123" t="str">
        <f t="shared" si="10"/>
        <v>0x245</v>
      </c>
      <c r="F89" s="276"/>
      <c r="G89" s="506"/>
      <c r="H89" s="523"/>
      <c r="I89" s="581"/>
      <c r="J89" s="310"/>
      <c r="K89" s="310"/>
      <c r="L89" s="303"/>
      <c r="M89" s="21"/>
      <c r="N89" s="11"/>
      <c r="Q89" s="13"/>
    </row>
    <row r="90" spans="1:17" x14ac:dyDescent="0.45">
      <c r="A90" s="637"/>
      <c r="B90" s="44">
        <f t="shared" si="12"/>
        <v>6</v>
      </c>
      <c r="C90" s="28" t="str">
        <f t="shared" si="9"/>
        <v>.bit 6</v>
      </c>
      <c r="D90" s="13"/>
      <c r="E90" s="123" t="str">
        <f t="shared" si="10"/>
        <v>0x246</v>
      </c>
      <c r="F90" s="276"/>
      <c r="G90" s="506"/>
      <c r="H90" s="523"/>
      <c r="I90" s="581"/>
      <c r="J90" s="310"/>
      <c r="K90" s="310"/>
      <c r="L90" s="303"/>
      <c r="M90" s="21"/>
      <c r="N90" s="11"/>
      <c r="Q90" s="13"/>
    </row>
    <row r="91" spans="1:17" x14ac:dyDescent="0.45">
      <c r="A91" s="637"/>
      <c r="B91" s="44">
        <f t="shared" si="12"/>
        <v>7</v>
      </c>
      <c r="C91" s="28" t="str">
        <f t="shared" si="9"/>
        <v>.bit 7</v>
      </c>
      <c r="D91" s="13"/>
      <c r="E91" s="123" t="str">
        <f t="shared" si="10"/>
        <v>0x247</v>
      </c>
      <c r="F91" s="276"/>
      <c r="G91" s="506"/>
      <c r="H91" s="523"/>
      <c r="I91" s="581"/>
      <c r="J91" s="310"/>
      <c r="K91" s="310"/>
      <c r="L91" s="303"/>
      <c r="M91" s="21"/>
      <c r="N91" s="11"/>
      <c r="Q91" s="13"/>
    </row>
    <row r="92" spans="1:17" x14ac:dyDescent="0.45">
      <c r="A92" s="637"/>
      <c r="B92" s="45">
        <f t="shared" si="12"/>
        <v>8</v>
      </c>
      <c r="C92" s="46" t="str">
        <f t="shared" si="9"/>
        <v>.bit 8</v>
      </c>
      <c r="D92" s="49"/>
      <c r="E92" s="125" t="str">
        <f t="shared" si="10"/>
        <v>0x248</v>
      </c>
      <c r="F92" s="276"/>
      <c r="G92" s="529"/>
      <c r="H92" s="530"/>
      <c r="I92" s="582"/>
      <c r="J92" s="531"/>
      <c r="K92" s="531"/>
      <c r="L92" s="532"/>
      <c r="M92" s="21"/>
      <c r="N92" s="11"/>
      <c r="Q92" s="13"/>
    </row>
    <row r="93" spans="1:17" x14ac:dyDescent="0.45">
      <c r="A93" s="637"/>
      <c r="B93" s="43" t="s">
        <v>258</v>
      </c>
      <c r="C93" s="121" t="str">
        <f>CONCATENATE("0x", DEC2HEX(5+HEX2DEC('inicio zonas'!$C$7)))</f>
        <v>0x25</v>
      </c>
      <c r="D93" s="39"/>
      <c r="E93" s="98"/>
      <c r="F93" s="126"/>
      <c r="G93" s="494"/>
      <c r="H93" s="367"/>
      <c r="I93" s="576"/>
      <c r="J93" s="209"/>
      <c r="K93" s="209"/>
      <c r="L93" s="306"/>
      <c r="M93" s="81"/>
      <c r="N93" s="16"/>
    </row>
    <row r="94" spans="1:17" x14ac:dyDescent="0.45">
      <c r="A94" s="637"/>
      <c r="B94" s="44">
        <v>0</v>
      </c>
      <c r="C94" s="28" t="str">
        <f t="shared" ref="C94:C109" si="13">CONCATENATE(".bit ", B94)</f>
        <v>.bit 0</v>
      </c>
      <c r="D94" s="15" t="s">
        <v>107</v>
      </c>
      <c r="E94" s="123" t="str">
        <f t="shared" ref="E94:E109" si="14">CONCATENATE($C$93,DEC2HEX(B94))</f>
        <v>0x250</v>
      </c>
      <c r="F94" s="276"/>
      <c r="G94" s="495" t="s">
        <v>923</v>
      </c>
      <c r="H94" s="254" t="s">
        <v>924</v>
      </c>
      <c r="I94" s="251"/>
      <c r="J94" s="289" t="s">
        <v>921</v>
      </c>
      <c r="K94" s="310" t="s">
        <v>928</v>
      </c>
      <c r="L94" s="303">
        <v>0</v>
      </c>
      <c r="M94" s="81"/>
      <c r="N94" s="30"/>
      <c r="Q94" s="13"/>
    </row>
    <row r="95" spans="1:17" x14ac:dyDescent="0.45">
      <c r="A95" s="637"/>
      <c r="B95" s="44">
        <f t="shared" ref="B95:B109" si="15">B94+1</f>
        <v>1</v>
      </c>
      <c r="C95" s="28" t="str">
        <f t="shared" si="13"/>
        <v>.bit 1</v>
      </c>
      <c r="D95" s="15" t="s">
        <v>563</v>
      </c>
      <c r="E95" s="123" t="str">
        <f t="shared" si="14"/>
        <v>0x251</v>
      </c>
      <c r="F95" s="276" t="s">
        <v>658</v>
      </c>
      <c r="G95" s="495" t="s">
        <v>923</v>
      </c>
      <c r="H95" s="254" t="s">
        <v>924</v>
      </c>
      <c r="I95" s="251"/>
      <c r="J95" s="289" t="s">
        <v>921</v>
      </c>
      <c r="K95" s="310" t="s">
        <v>928</v>
      </c>
      <c r="L95" s="303">
        <v>0</v>
      </c>
      <c r="M95" s="81"/>
      <c r="N95" s="30"/>
      <c r="Q95" s="13"/>
    </row>
    <row r="96" spans="1:17" x14ac:dyDescent="0.45">
      <c r="A96" s="637"/>
      <c r="B96" s="44">
        <f t="shared" si="15"/>
        <v>2</v>
      </c>
      <c r="C96" s="28" t="str">
        <f t="shared" si="13"/>
        <v>.bit 2</v>
      </c>
      <c r="D96" s="15" t="s">
        <v>564</v>
      </c>
      <c r="E96" s="123" t="str">
        <f t="shared" si="14"/>
        <v>0x252</v>
      </c>
      <c r="F96" s="276" t="s">
        <v>659</v>
      </c>
      <c r="G96" s="495" t="s">
        <v>923</v>
      </c>
      <c r="H96" s="254" t="s">
        <v>924</v>
      </c>
      <c r="I96" s="251"/>
      <c r="J96" s="289" t="s">
        <v>921</v>
      </c>
      <c r="K96" s="310" t="s">
        <v>928</v>
      </c>
      <c r="L96" s="303">
        <v>0</v>
      </c>
      <c r="M96" s="81"/>
      <c r="N96" s="30"/>
      <c r="Q96" s="13"/>
    </row>
    <row r="97" spans="1:17" x14ac:dyDescent="0.45">
      <c r="A97" s="637"/>
      <c r="B97" s="44">
        <f t="shared" si="15"/>
        <v>3</v>
      </c>
      <c r="C97" s="28" t="str">
        <f t="shared" si="13"/>
        <v>.bit 3</v>
      </c>
      <c r="D97" s="15"/>
      <c r="E97" s="123" t="str">
        <f t="shared" si="14"/>
        <v>0x253</v>
      </c>
      <c r="F97" s="276"/>
      <c r="G97" s="506"/>
      <c r="H97" s="523"/>
      <c r="I97" s="581"/>
      <c r="J97" s="310"/>
      <c r="K97" s="310"/>
      <c r="L97" s="303"/>
      <c r="M97" s="81"/>
      <c r="N97" s="30"/>
      <c r="Q97" s="13"/>
    </row>
    <row r="98" spans="1:17" x14ac:dyDescent="0.45">
      <c r="A98" s="637"/>
      <c r="B98" s="44">
        <f t="shared" si="15"/>
        <v>4</v>
      </c>
      <c r="C98" s="28" t="str">
        <f t="shared" si="13"/>
        <v>.bit 4</v>
      </c>
      <c r="D98" s="13"/>
      <c r="E98" s="123" t="str">
        <f t="shared" si="14"/>
        <v>0x254</v>
      </c>
      <c r="F98" s="276"/>
      <c r="G98" s="506"/>
      <c r="H98" s="523"/>
      <c r="I98" s="581"/>
      <c r="J98" s="310"/>
      <c r="K98" s="310"/>
      <c r="L98" s="303"/>
      <c r="M98" s="81"/>
      <c r="N98" s="30"/>
      <c r="Q98" s="13"/>
    </row>
    <row r="99" spans="1:17" x14ac:dyDescent="0.45">
      <c r="A99" s="637"/>
      <c r="B99" s="44">
        <f t="shared" si="15"/>
        <v>5</v>
      </c>
      <c r="C99" s="28" t="str">
        <f t="shared" si="13"/>
        <v>.bit 5</v>
      </c>
      <c r="D99" s="13"/>
      <c r="E99" s="123" t="str">
        <f t="shared" si="14"/>
        <v>0x255</v>
      </c>
      <c r="F99" s="276"/>
      <c r="G99" s="506"/>
      <c r="H99" s="523"/>
      <c r="I99" s="581"/>
      <c r="J99" s="310"/>
      <c r="K99" s="310"/>
      <c r="L99" s="303"/>
      <c r="M99" s="81"/>
      <c r="N99" s="30"/>
      <c r="Q99" s="13"/>
    </row>
    <row r="100" spans="1:17" x14ac:dyDescent="0.45">
      <c r="A100" s="637"/>
      <c r="B100" s="44">
        <f t="shared" si="15"/>
        <v>6</v>
      </c>
      <c r="C100" s="28" t="str">
        <f t="shared" si="13"/>
        <v>.bit 6</v>
      </c>
      <c r="D100" s="13"/>
      <c r="E100" s="123" t="str">
        <f t="shared" si="14"/>
        <v>0x256</v>
      </c>
      <c r="F100" s="276"/>
      <c r="G100" s="506"/>
      <c r="H100" s="523"/>
      <c r="I100" s="581"/>
      <c r="J100" s="310"/>
      <c r="K100" s="310"/>
      <c r="L100" s="303"/>
      <c r="M100" s="81"/>
      <c r="N100" s="16"/>
      <c r="Q100" s="13"/>
    </row>
    <row r="101" spans="1:17" x14ac:dyDescent="0.45">
      <c r="A101" s="637"/>
      <c r="B101" s="44">
        <f t="shared" si="15"/>
        <v>7</v>
      </c>
      <c r="C101" s="28" t="str">
        <f t="shared" si="13"/>
        <v>.bit 7</v>
      </c>
      <c r="D101" s="13"/>
      <c r="E101" s="123" t="str">
        <f t="shared" si="14"/>
        <v>0x257</v>
      </c>
      <c r="F101" s="276"/>
      <c r="G101" s="506"/>
      <c r="H101" s="523"/>
      <c r="I101" s="581"/>
      <c r="J101" s="310"/>
      <c r="K101" s="310"/>
      <c r="L101" s="303"/>
      <c r="M101" s="81"/>
      <c r="N101" s="12"/>
      <c r="Q101" s="13"/>
    </row>
    <row r="102" spans="1:17" x14ac:dyDescent="0.45">
      <c r="A102" s="637"/>
      <c r="B102" s="44">
        <f t="shared" si="15"/>
        <v>8</v>
      </c>
      <c r="C102" s="28" t="str">
        <f t="shared" si="13"/>
        <v>.bit 8</v>
      </c>
      <c r="D102" s="13"/>
      <c r="E102" s="123" t="str">
        <f t="shared" si="14"/>
        <v>0x258</v>
      </c>
      <c r="F102" s="276"/>
      <c r="G102" s="506"/>
      <c r="H102" s="523"/>
      <c r="I102" s="581"/>
      <c r="J102" s="310"/>
      <c r="K102" s="310"/>
      <c r="L102" s="303"/>
      <c r="M102" s="81"/>
      <c r="N102" s="12"/>
      <c r="Q102" s="13"/>
    </row>
    <row r="103" spans="1:17" x14ac:dyDescent="0.45">
      <c r="A103" s="637"/>
      <c r="B103" s="44">
        <f t="shared" si="15"/>
        <v>9</v>
      </c>
      <c r="C103" s="28" t="str">
        <f t="shared" si="13"/>
        <v>.bit 9</v>
      </c>
      <c r="D103" s="13"/>
      <c r="E103" s="123" t="str">
        <f t="shared" si="14"/>
        <v>0x259</v>
      </c>
      <c r="F103" s="276"/>
      <c r="G103" s="506"/>
      <c r="H103" s="523"/>
      <c r="I103" s="581"/>
      <c r="J103" s="310"/>
      <c r="K103" s="310"/>
      <c r="L103" s="303"/>
      <c r="M103" s="81"/>
      <c r="N103" s="12"/>
      <c r="Q103" s="13"/>
    </row>
    <row r="104" spans="1:17" x14ac:dyDescent="0.45">
      <c r="A104" s="637"/>
      <c r="B104" s="44">
        <f t="shared" si="15"/>
        <v>10</v>
      </c>
      <c r="C104" s="28" t="str">
        <f t="shared" si="13"/>
        <v>.bit 10</v>
      </c>
      <c r="D104" s="13"/>
      <c r="E104" s="123" t="str">
        <f t="shared" si="14"/>
        <v>0x25A</v>
      </c>
      <c r="F104" s="276"/>
      <c r="G104" s="506"/>
      <c r="H104" s="523"/>
      <c r="I104" s="581"/>
      <c r="J104" s="310"/>
      <c r="K104" s="310"/>
      <c r="L104" s="303"/>
      <c r="M104" s="81"/>
      <c r="N104" s="12"/>
      <c r="Q104" s="13"/>
    </row>
    <row r="105" spans="1:17" x14ac:dyDescent="0.45">
      <c r="A105" s="637"/>
      <c r="B105" s="44">
        <f t="shared" si="15"/>
        <v>11</v>
      </c>
      <c r="C105" s="28" t="str">
        <f t="shared" si="13"/>
        <v>.bit 11</v>
      </c>
      <c r="D105" s="13"/>
      <c r="E105" s="123" t="str">
        <f t="shared" si="14"/>
        <v>0x25B</v>
      </c>
      <c r="F105" s="276"/>
      <c r="G105" s="506"/>
      <c r="H105" s="523"/>
      <c r="I105" s="581"/>
      <c r="J105" s="310"/>
      <c r="K105" s="310"/>
      <c r="L105" s="303"/>
      <c r="M105" s="81"/>
      <c r="N105" s="12"/>
      <c r="Q105" s="13"/>
    </row>
    <row r="106" spans="1:17" x14ac:dyDescent="0.45">
      <c r="A106" s="637"/>
      <c r="B106" s="44">
        <f t="shared" si="15"/>
        <v>12</v>
      </c>
      <c r="C106" s="28" t="str">
        <f t="shared" si="13"/>
        <v>.bit 12</v>
      </c>
      <c r="D106" s="13"/>
      <c r="E106" s="123" t="str">
        <f t="shared" si="14"/>
        <v>0x25C</v>
      </c>
      <c r="F106" s="278"/>
      <c r="G106" s="508"/>
      <c r="H106" s="414"/>
      <c r="I106" s="565"/>
      <c r="J106" s="289"/>
      <c r="K106" s="289"/>
      <c r="L106" s="316"/>
      <c r="M106" s="15"/>
      <c r="N106" s="12"/>
      <c r="Q106" s="13"/>
    </row>
    <row r="107" spans="1:17" x14ac:dyDescent="0.45">
      <c r="A107" s="637"/>
      <c r="B107" s="44">
        <f t="shared" si="15"/>
        <v>13</v>
      </c>
      <c r="C107" s="28" t="str">
        <f t="shared" si="13"/>
        <v>.bit 13</v>
      </c>
      <c r="D107" s="13"/>
      <c r="E107" s="123" t="str">
        <f t="shared" si="14"/>
        <v>0x25D</v>
      </c>
      <c r="F107" s="278"/>
      <c r="G107" s="508"/>
      <c r="H107" s="414"/>
      <c r="I107" s="565"/>
      <c r="J107" s="289"/>
      <c r="K107" s="289"/>
      <c r="L107" s="316"/>
      <c r="M107" s="15"/>
      <c r="N107" s="12"/>
      <c r="Q107" s="13"/>
    </row>
    <row r="108" spans="1:17" x14ac:dyDescent="0.45">
      <c r="A108" s="637"/>
      <c r="B108" s="44">
        <f t="shared" si="15"/>
        <v>14</v>
      </c>
      <c r="C108" s="28" t="str">
        <f t="shared" si="13"/>
        <v>.bit 14</v>
      </c>
      <c r="D108" s="13"/>
      <c r="E108" s="123" t="str">
        <f t="shared" si="14"/>
        <v>0x25E</v>
      </c>
      <c r="F108" s="278"/>
      <c r="G108" s="508"/>
      <c r="H108" s="414"/>
      <c r="I108" s="565"/>
      <c r="J108" s="289"/>
      <c r="K108" s="289"/>
      <c r="L108" s="316"/>
      <c r="M108" s="15"/>
      <c r="N108" s="12"/>
      <c r="Q108" s="13"/>
    </row>
    <row r="109" spans="1:17" x14ac:dyDescent="0.45">
      <c r="A109" s="637"/>
      <c r="B109" s="45">
        <f t="shared" si="15"/>
        <v>15</v>
      </c>
      <c r="C109" s="46" t="str">
        <f t="shared" si="13"/>
        <v>.bit 15</v>
      </c>
      <c r="D109" s="49"/>
      <c r="E109" s="123" t="str">
        <f t="shared" si="14"/>
        <v>0x25F</v>
      </c>
      <c r="F109" s="278"/>
      <c r="G109" s="533"/>
      <c r="H109" s="534"/>
      <c r="I109" s="580"/>
      <c r="J109" s="519"/>
      <c r="K109" s="519"/>
      <c r="L109" s="535"/>
      <c r="M109" s="15"/>
      <c r="N109" s="12"/>
      <c r="Q109" s="13"/>
    </row>
    <row r="110" spans="1:17" x14ac:dyDescent="0.45">
      <c r="A110" s="637"/>
      <c r="B110" s="43" t="s">
        <v>259</v>
      </c>
      <c r="C110" s="121" t="str">
        <f>CONCATENATE("0x", DEC2HEX(6+HEX2DEC('inicio zonas'!$C$7)))</f>
        <v>0x26</v>
      </c>
      <c r="D110" s="39"/>
      <c r="E110" s="98"/>
      <c r="F110" s="126"/>
      <c r="G110" s="536"/>
      <c r="H110" s="537"/>
      <c r="I110" s="583"/>
      <c r="J110" s="209"/>
      <c r="K110" s="209"/>
      <c r="L110" s="306"/>
      <c r="M110" s="81"/>
      <c r="N110" s="16"/>
    </row>
    <row r="111" spans="1:17" x14ac:dyDescent="0.45">
      <c r="A111" s="637"/>
      <c r="B111" s="44">
        <v>0</v>
      </c>
      <c r="C111" s="28" t="str">
        <f t="shared" ref="C111:C126" si="16">CONCATENATE(".bit ", B111)</f>
        <v>.bit 0</v>
      </c>
      <c r="D111" s="15" t="s">
        <v>121</v>
      </c>
      <c r="E111" s="123" t="str">
        <f t="shared" ref="E111:E126" si="17">CONCATENATE($C$110,DEC2HEX(B111))</f>
        <v>0x260</v>
      </c>
      <c r="F111" s="276"/>
      <c r="G111" s="495" t="s">
        <v>923</v>
      </c>
      <c r="H111" s="289" t="s">
        <v>923</v>
      </c>
      <c r="I111" s="565"/>
      <c r="J111" s="289" t="s">
        <v>921</v>
      </c>
      <c r="K111" s="310" t="s">
        <v>928</v>
      </c>
      <c r="L111" s="303">
        <v>0</v>
      </c>
      <c r="M111" s="81"/>
      <c r="N111" s="30"/>
      <c r="Q111" s="13"/>
    </row>
    <row r="112" spans="1:17" x14ac:dyDescent="0.45">
      <c r="A112" s="637"/>
      <c r="B112" s="44">
        <f t="shared" ref="B112:B126" si="18">B111+1</f>
        <v>1</v>
      </c>
      <c r="C112" s="28" t="str">
        <f t="shared" si="16"/>
        <v>.bit 1</v>
      </c>
      <c r="D112" s="15" t="s">
        <v>122</v>
      </c>
      <c r="E112" s="123" t="str">
        <f t="shared" si="17"/>
        <v>0x261</v>
      </c>
      <c r="F112" s="276"/>
      <c r="G112" s="495" t="s">
        <v>923</v>
      </c>
      <c r="H112" s="289" t="s">
        <v>923</v>
      </c>
      <c r="I112" s="565"/>
      <c r="J112" s="289" t="s">
        <v>921</v>
      </c>
      <c r="K112" s="310" t="s">
        <v>928</v>
      </c>
      <c r="L112" s="303">
        <v>0</v>
      </c>
      <c r="M112" s="81"/>
      <c r="N112" s="30"/>
      <c r="Q112" s="13"/>
    </row>
    <row r="113" spans="1:17" x14ac:dyDescent="0.45">
      <c r="A113" s="637"/>
      <c r="B113" s="44">
        <f t="shared" si="18"/>
        <v>2</v>
      </c>
      <c r="C113" s="28" t="str">
        <f t="shared" si="16"/>
        <v>.bit 2</v>
      </c>
      <c r="D113" s="15"/>
      <c r="E113" s="123" t="str">
        <f t="shared" si="17"/>
        <v>0x262</v>
      </c>
      <c r="F113" s="276"/>
      <c r="G113" s="506"/>
      <c r="H113" s="523"/>
      <c r="I113" s="581"/>
      <c r="J113" s="310"/>
      <c r="K113" s="310"/>
      <c r="L113" s="303"/>
      <c r="M113" s="81"/>
      <c r="N113" s="30"/>
      <c r="Q113" s="13"/>
    </row>
    <row r="114" spans="1:17" x14ac:dyDescent="0.45">
      <c r="A114" s="637"/>
      <c r="B114" s="44">
        <f t="shared" si="18"/>
        <v>3</v>
      </c>
      <c r="C114" s="28" t="str">
        <f t="shared" si="16"/>
        <v>.bit 3</v>
      </c>
      <c r="D114" s="15"/>
      <c r="E114" s="123" t="str">
        <f t="shared" si="17"/>
        <v>0x263</v>
      </c>
      <c r="F114" s="276"/>
      <c r="G114" s="506"/>
      <c r="H114" s="523"/>
      <c r="I114" s="581"/>
      <c r="J114" s="310"/>
      <c r="K114" s="310"/>
      <c r="L114" s="303"/>
      <c r="M114" s="81"/>
      <c r="N114" s="30"/>
      <c r="Q114" s="13"/>
    </row>
    <row r="115" spans="1:17" x14ac:dyDescent="0.45">
      <c r="A115" s="637"/>
      <c r="B115" s="44">
        <f t="shared" si="18"/>
        <v>4</v>
      </c>
      <c r="C115" s="28" t="str">
        <f t="shared" si="16"/>
        <v>.bit 4</v>
      </c>
      <c r="D115" s="15"/>
      <c r="E115" s="123" t="str">
        <f t="shared" si="17"/>
        <v>0x264</v>
      </c>
      <c r="F115" s="276"/>
      <c r="G115" s="506"/>
      <c r="H115" s="523"/>
      <c r="I115" s="581"/>
      <c r="J115" s="310"/>
      <c r="K115" s="310"/>
      <c r="L115" s="303"/>
      <c r="M115" s="81"/>
      <c r="N115" s="30"/>
      <c r="Q115" s="13"/>
    </row>
    <row r="116" spans="1:17" x14ac:dyDescent="0.45">
      <c r="A116" s="637"/>
      <c r="B116" s="44">
        <f t="shared" si="18"/>
        <v>5</v>
      </c>
      <c r="C116" s="28" t="str">
        <f t="shared" si="16"/>
        <v>.bit 5</v>
      </c>
      <c r="D116" s="15" t="s">
        <v>224</v>
      </c>
      <c r="E116" s="123" t="str">
        <f t="shared" si="17"/>
        <v>0x265</v>
      </c>
      <c r="F116" s="276"/>
      <c r="G116" s="495" t="s">
        <v>923</v>
      </c>
      <c r="H116" s="289" t="s">
        <v>923</v>
      </c>
      <c r="I116" s="565"/>
      <c r="J116" s="289" t="s">
        <v>921</v>
      </c>
      <c r="K116" s="310" t="s">
        <v>928</v>
      </c>
      <c r="L116" s="303">
        <v>0</v>
      </c>
      <c r="M116" s="86"/>
      <c r="N116" s="30"/>
      <c r="Q116" s="13"/>
    </row>
    <row r="117" spans="1:17" x14ac:dyDescent="0.45">
      <c r="A117" s="637"/>
      <c r="B117" s="44">
        <f t="shared" si="18"/>
        <v>6</v>
      </c>
      <c r="C117" s="28" t="str">
        <f t="shared" si="16"/>
        <v>.bit 6</v>
      </c>
      <c r="D117" s="15" t="s">
        <v>225</v>
      </c>
      <c r="E117" s="123" t="str">
        <f t="shared" si="17"/>
        <v>0x266</v>
      </c>
      <c r="F117" s="276"/>
      <c r="G117" s="495" t="s">
        <v>923</v>
      </c>
      <c r="H117" s="289" t="s">
        <v>923</v>
      </c>
      <c r="I117" s="565"/>
      <c r="J117" s="289" t="s">
        <v>921</v>
      </c>
      <c r="K117" s="310" t="s">
        <v>928</v>
      </c>
      <c r="L117" s="303">
        <v>0</v>
      </c>
      <c r="M117" s="86"/>
      <c r="N117" s="16"/>
      <c r="Q117" s="13"/>
    </row>
    <row r="118" spans="1:17" x14ac:dyDescent="0.45">
      <c r="A118" s="637"/>
      <c r="B118" s="44">
        <f t="shared" si="18"/>
        <v>7</v>
      </c>
      <c r="C118" s="28" t="str">
        <f t="shared" si="16"/>
        <v>.bit 7</v>
      </c>
      <c r="D118" s="15" t="s">
        <v>226</v>
      </c>
      <c r="E118" s="123" t="str">
        <f t="shared" si="17"/>
        <v>0x267</v>
      </c>
      <c r="F118" s="276"/>
      <c r="G118" s="495" t="s">
        <v>923</v>
      </c>
      <c r="H118" s="289" t="s">
        <v>923</v>
      </c>
      <c r="I118" s="565"/>
      <c r="J118" s="289" t="s">
        <v>921</v>
      </c>
      <c r="K118" s="310" t="s">
        <v>928</v>
      </c>
      <c r="L118" s="303">
        <v>0</v>
      </c>
      <c r="M118" s="86"/>
      <c r="N118" s="12"/>
      <c r="Q118" s="13"/>
    </row>
    <row r="119" spans="1:17" x14ac:dyDescent="0.45">
      <c r="A119" s="637"/>
      <c r="B119" s="44">
        <f t="shared" si="18"/>
        <v>8</v>
      </c>
      <c r="C119" s="28" t="str">
        <f t="shared" si="16"/>
        <v>.bit 8</v>
      </c>
      <c r="D119" s="15" t="s">
        <v>459</v>
      </c>
      <c r="E119" s="123" t="str">
        <f t="shared" si="17"/>
        <v>0x268</v>
      </c>
      <c r="F119" s="276"/>
      <c r="G119" s="495" t="s">
        <v>923</v>
      </c>
      <c r="H119" s="289" t="s">
        <v>923</v>
      </c>
      <c r="I119" s="565"/>
      <c r="J119" s="289" t="s">
        <v>921</v>
      </c>
      <c r="K119" s="310" t="s">
        <v>928</v>
      </c>
      <c r="L119" s="303">
        <v>0</v>
      </c>
      <c r="M119" s="86"/>
      <c r="N119" s="12"/>
      <c r="Q119" s="13"/>
    </row>
    <row r="120" spans="1:17" x14ac:dyDescent="0.45">
      <c r="A120" s="637"/>
      <c r="B120" s="44">
        <f t="shared" si="18"/>
        <v>9</v>
      </c>
      <c r="C120" s="28" t="str">
        <f t="shared" si="16"/>
        <v>.bit 9</v>
      </c>
      <c r="E120" s="123" t="str">
        <f t="shared" si="17"/>
        <v>0x269</v>
      </c>
      <c r="F120" s="276"/>
      <c r="G120" s="506"/>
      <c r="H120" s="523"/>
      <c r="I120" s="581"/>
      <c r="J120" s="310"/>
      <c r="K120" s="310"/>
      <c r="L120" s="303"/>
      <c r="M120" s="81"/>
      <c r="N120" s="12"/>
      <c r="Q120" s="13"/>
    </row>
    <row r="121" spans="1:17" x14ac:dyDescent="0.45">
      <c r="A121" s="637"/>
      <c r="B121" s="44">
        <f t="shared" si="18"/>
        <v>10</v>
      </c>
      <c r="C121" s="28" t="str">
        <f t="shared" si="16"/>
        <v>.bit 10</v>
      </c>
      <c r="D121" s="13"/>
      <c r="E121" s="123" t="str">
        <f t="shared" si="17"/>
        <v>0x26A</v>
      </c>
      <c r="F121" s="276"/>
      <c r="G121" s="372"/>
      <c r="H121" s="249"/>
      <c r="I121" s="251"/>
      <c r="J121" s="289"/>
      <c r="K121" s="310"/>
      <c r="L121" s="303"/>
      <c r="M121" s="81"/>
      <c r="N121" s="12"/>
      <c r="Q121" s="13"/>
    </row>
    <row r="122" spans="1:17" x14ac:dyDescent="0.45">
      <c r="A122" s="637"/>
      <c r="B122" s="44">
        <f t="shared" si="18"/>
        <v>11</v>
      </c>
      <c r="C122" s="28" t="str">
        <f t="shared" si="16"/>
        <v>.bit 11</v>
      </c>
      <c r="D122" s="13"/>
      <c r="E122" s="123" t="str">
        <f t="shared" si="17"/>
        <v>0x26B</v>
      </c>
      <c r="F122" s="276"/>
      <c r="G122" s="372"/>
      <c r="H122" s="249"/>
      <c r="I122" s="251"/>
      <c r="J122" s="289"/>
      <c r="K122" s="310"/>
      <c r="L122" s="303"/>
      <c r="M122" s="81"/>
      <c r="N122" s="12"/>
      <c r="Q122" s="13"/>
    </row>
    <row r="123" spans="1:17" x14ac:dyDescent="0.45">
      <c r="A123" s="637"/>
      <c r="B123" s="44">
        <f t="shared" si="18"/>
        <v>12</v>
      </c>
      <c r="C123" s="28" t="str">
        <f t="shared" si="16"/>
        <v>.bit 12</v>
      </c>
      <c r="D123" s="13"/>
      <c r="E123" s="123" t="str">
        <f t="shared" si="17"/>
        <v>0x26C</v>
      </c>
      <c r="F123" s="278"/>
      <c r="G123" s="372"/>
      <c r="H123" s="249"/>
      <c r="I123" s="251"/>
      <c r="J123" s="289"/>
      <c r="K123" s="310"/>
      <c r="L123" s="316"/>
      <c r="M123" s="15"/>
      <c r="N123" s="12"/>
      <c r="Q123" s="13"/>
    </row>
    <row r="124" spans="1:17" x14ac:dyDescent="0.45">
      <c r="A124" s="637"/>
      <c r="B124" s="44">
        <f t="shared" si="18"/>
        <v>13</v>
      </c>
      <c r="C124" s="28" t="str">
        <f t="shared" si="16"/>
        <v>.bit 13</v>
      </c>
      <c r="D124" s="13"/>
      <c r="E124" s="123" t="str">
        <f t="shared" si="17"/>
        <v>0x26D</v>
      </c>
      <c r="F124" s="278"/>
      <c r="G124" s="372"/>
      <c r="H124" s="249"/>
      <c r="I124" s="251"/>
      <c r="J124" s="289"/>
      <c r="K124" s="310"/>
      <c r="L124" s="316"/>
      <c r="M124" s="15"/>
      <c r="N124" s="12"/>
      <c r="Q124" s="13"/>
    </row>
    <row r="125" spans="1:17" x14ac:dyDescent="0.45">
      <c r="A125" s="637"/>
      <c r="B125" s="44">
        <f t="shared" si="18"/>
        <v>14</v>
      </c>
      <c r="C125" s="28" t="str">
        <f t="shared" si="16"/>
        <v>.bit 14</v>
      </c>
      <c r="D125" s="13"/>
      <c r="E125" s="123" t="str">
        <f t="shared" si="17"/>
        <v>0x26E</v>
      </c>
      <c r="F125" s="278"/>
      <c r="G125" s="508"/>
      <c r="H125" s="414"/>
      <c r="I125" s="565"/>
      <c r="J125" s="289"/>
      <c r="K125" s="289"/>
      <c r="L125" s="316"/>
      <c r="M125" s="15"/>
      <c r="N125" s="12"/>
      <c r="Q125" s="13"/>
    </row>
    <row r="126" spans="1:17" x14ac:dyDescent="0.45">
      <c r="A126" s="637"/>
      <c r="B126" s="45">
        <f t="shared" si="18"/>
        <v>15</v>
      </c>
      <c r="C126" s="46" t="str">
        <f t="shared" si="16"/>
        <v>.bit 15</v>
      </c>
      <c r="D126" s="49"/>
      <c r="E126" s="125" t="str">
        <f t="shared" si="17"/>
        <v>0x26F</v>
      </c>
      <c r="F126" s="278"/>
      <c r="G126" s="533"/>
      <c r="H126" s="534"/>
      <c r="I126" s="580"/>
      <c r="J126" s="519"/>
      <c r="K126" s="519"/>
      <c r="L126" s="535"/>
      <c r="M126" s="15"/>
      <c r="N126" s="12"/>
      <c r="Q126" s="13"/>
    </row>
    <row r="127" spans="1:17" x14ac:dyDescent="0.45">
      <c r="A127" s="637"/>
      <c r="B127" s="77" t="s">
        <v>260</v>
      </c>
      <c r="C127" s="121" t="str">
        <f>CONCATENATE("0x", DEC2HEX(7+HEX2DEC('inicio zonas'!$C$7)))</f>
        <v>0x27</v>
      </c>
      <c r="D127" s="23"/>
      <c r="E127" s="103"/>
      <c r="F127" s="104"/>
      <c r="G127" s="502"/>
      <c r="H127" s="520"/>
      <c r="I127" s="584"/>
      <c r="J127" s="214"/>
      <c r="K127" s="214"/>
      <c r="L127" s="293"/>
      <c r="M127" s="14"/>
      <c r="N127" s="11"/>
    </row>
    <row r="128" spans="1:17" x14ac:dyDescent="0.45">
      <c r="A128" s="637"/>
      <c r="B128" s="44">
        <v>0</v>
      </c>
      <c r="C128" s="28" t="str">
        <f t="shared" ref="C128:C143" si="19">CONCATENATE(".bit ", B128)</f>
        <v>.bit 0</v>
      </c>
      <c r="D128" s="15" t="s">
        <v>108</v>
      </c>
      <c r="E128" s="123" t="str">
        <f t="shared" ref="E128:E143" si="20">CONCATENATE($C$127,DEC2HEX(B128))</f>
        <v>0x270</v>
      </c>
      <c r="F128" s="274"/>
      <c r="G128" s="495" t="s">
        <v>923</v>
      </c>
      <c r="H128" s="289" t="s">
        <v>923</v>
      </c>
      <c r="I128" s="565"/>
      <c r="J128" s="289" t="s">
        <v>921</v>
      </c>
      <c r="K128" s="298" t="s">
        <v>928</v>
      </c>
      <c r="L128" s="294">
        <v>0</v>
      </c>
      <c r="M128" s="10"/>
      <c r="N128" s="16"/>
    </row>
    <row r="129" spans="1:14" x14ac:dyDescent="0.45">
      <c r="A129" s="637"/>
      <c r="B129" s="44">
        <f t="shared" ref="B129:B143" si="21">B128+1</f>
        <v>1</v>
      </c>
      <c r="C129" s="28" t="str">
        <f t="shared" si="19"/>
        <v>.bit 1</v>
      </c>
      <c r="D129" s="15" t="s">
        <v>109</v>
      </c>
      <c r="E129" s="123" t="str">
        <f t="shared" si="20"/>
        <v>0x271</v>
      </c>
      <c r="F129" s="274"/>
      <c r="G129" s="495" t="s">
        <v>923</v>
      </c>
      <c r="H129" s="289" t="s">
        <v>923</v>
      </c>
      <c r="I129" s="565"/>
      <c r="J129" s="289" t="s">
        <v>921</v>
      </c>
      <c r="K129" s="298" t="s">
        <v>928</v>
      </c>
      <c r="L129" s="294">
        <v>0</v>
      </c>
      <c r="M129" s="10"/>
      <c r="N129" s="16"/>
    </row>
    <row r="130" spans="1:14" x14ac:dyDescent="0.45">
      <c r="A130" s="637"/>
      <c r="B130" s="44">
        <f t="shared" si="21"/>
        <v>2</v>
      </c>
      <c r="C130" s="28" t="str">
        <f t="shared" si="19"/>
        <v>.bit 2</v>
      </c>
      <c r="D130" s="15" t="s">
        <v>110</v>
      </c>
      <c r="E130" s="123" t="str">
        <f t="shared" si="20"/>
        <v>0x272</v>
      </c>
      <c r="F130" s="279"/>
      <c r="G130" s="495" t="s">
        <v>923</v>
      </c>
      <c r="H130" s="289" t="s">
        <v>923</v>
      </c>
      <c r="I130" s="565"/>
      <c r="J130" s="289" t="s">
        <v>921</v>
      </c>
      <c r="K130" s="298" t="s">
        <v>928</v>
      </c>
      <c r="L130" s="294">
        <v>0</v>
      </c>
      <c r="M130" s="14"/>
      <c r="N130" s="11"/>
    </row>
    <row r="131" spans="1:14" x14ac:dyDescent="0.45">
      <c r="A131" s="637"/>
      <c r="B131" s="44">
        <f t="shared" si="21"/>
        <v>3</v>
      </c>
      <c r="C131" s="28" t="str">
        <f t="shared" si="19"/>
        <v>.bit 3</v>
      </c>
      <c r="D131" s="15" t="s">
        <v>146</v>
      </c>
      <c r="E131" s="123" t="str">
        <f t="shared" si="20"/>
        <v>0x273</v>
      </c>
      <c r="F131" s="279"/>
      <c r="G131" s="495" t="s">
        <v>923</v>
      </c>
      <c r="H131" s="289" t="s">
        <v>923</v>
      </c>
      <c r="I131" s="565"/>
      <c r="J131" s="289" t="s">
        <v>921</v>
      </c>
      <c r="K131" s="298" t="s">
        <v>928</v>
      </c>
      <c r="L131" s="294">
        <v>0</v>
      </c>
      <c r="M131" s="14"/>
      <c r="N131" s="11"/>
    </row>
    <row r="132" spans="1:14" x14ac:dyDescent="0.45">
      <c r="A132" s="637"/>
      <c r="B132" s="44">
        <f t="shared" si="21"/>
        <v>4</v>
      </c>
      <c r="C132" s="28" t="str">
        <f t="shared" si="19"/>
        <v>.bit 4</v>
      </c>
      <c r="D132" s="15" t="s">
        <v>634</v>
      </c>
      <c r="E132" s="123" t="str">
        <f t="shared" si="20"/>
        <v>0x274</v>
      </c>
      <c r="F132" s="279"/>
      <c r="G132" s="495" t="s">
        <v>923</v>
      </c>
      <c r="H132" s="289" t="s">
        <v>923</v>
      </c>
      <c r="I132" s="565"/>
      <c r="J132" s="289" t="s">
        <v>921</v>
      </c>
      <c r="K132" s="298" t="s">
        <v>928</v>
      </c>
      <c r="L132" s="294">
        <v>0</v>
      </c>
      <c r="M132" s="14"/>
      <c r="N132" s="11"/>
    </row>
    <row r="133" spans="1:14" x14ac:dyDescent="0.45">
      <c r="A133" s="637"/>
      <c r="B133" s="44">
        <f t="shared" si="21"/>
        <v>5</v>
      </c>
      <c r="C133" s="28" t="str">
        <f t="shared" si="19"/>
        <v>.bit 5</v>
      </c>
      <c r="D133" s="15" t="s">
        <v>635</v>
      </c>
      <c r="E133" s="123" t="str">
        <f t="shared" si="20"/>
        <v>0x275</v>
      </c>
      <c r="F133" s="279"/>
      <c r="G133" s="495" t="s">
        <v>923</v>
      </c>
      <c r="H133" s="289" t="s">
        <v>923</v>
      </c>
      <c r="I133" s="565"/>
      <c r="J133" s="289" t="s">
        <v>921</v>
      </c>
      <c r="K133" s="298" t="s">
        <v>928</v>
      </c>
      <c r="L133" s="294">
        <v>0</v>
      </c>
      <c r="M133" s="14"/>
      <c r="N133" s="11"/>
    </row>
    <row r="134" spans="1:14" x14ac:dyDescent="0.45">
      <c r="A134" s="637"/>
      <c r="B134" s="44">
        <f t="shared" si="21"/>
        <v>6</v>
      </c>
      <c r="C134" s="28" t="str">
        <f t="shared" si="19"/>
        <v>.bit 6</v>
      </c>
      <c r="D134" s="15" t="s">
        <v>227</v>
      </c>
      <c r="E134" s="123" t="str">
        <f t="shared" si="20"/>
        <v>0x276</v>
      </c>
      <c r="F134" s="279"/>
      <c r="G134" s="253" t="s">
        <v>924</v>
      </c>
      <c r="H134" s="289" t="s">
        <v>923</v>
      </c>
      <c r="I134" s="565"/>
      <c r="J134" s="289" t="s">
        <v>921</v>
      </c>
      <c r="K134" s="298" t="s">
        <v>928</v>
      </c>
      <c r="L134" s="294">
        <v>0</v>
      </c>
      <c r="M134" s="14"/>
      <c r="N134" s="11"/>
    </row>
    <row r="135" spans="1:14" x14ac:dyDescent="0.45">
      <c r="A135" s="637"/>
      <c r="B135" s="44">
        <f t="shared" si="21"/>
        <v>7</v>
      </c>
      <c r="C135" s="28" t="str">
        <f t="shared" si="19"/>
        <v>.bit 7</v>
      </c>
      <c r="D135" s="15" t="s">
        <v>228</v>
      </c>
      <c r="E135" s="123" t="str">
        <f t="shared" si="20"/>
        <v>0x277</v>
      </c>
      <c r="F135" s="279"/>
      <c r="G135" s="253" t="s">
        <v>924</v>
      </c>
      <c r="H135" s="289" t="s">
        <v>923</v>
      </c>
      <c r="I135" s="565"/>
      <c r="J135" s="289" t="s">
        <v>921</v>
      </c>
      <c r="K135" s="298" t="s">
        <v>928</v>
      </c>
      <c r="L135" s="294">
        <v>0</v>
      </c>
      <c r="M135" s="14"/>
      <c r="N135" s="11"/>
    </row>
    <row r="136" spans="1:14" x14ac:dyDescent="0.45">
      <c r="A136" s="637"/>
      <c r="B136" s="44">
        <f t="shared" si="21"/>
        <v>8</v>
      </c>
      <c r="C136" s="28" t="str">
        <f t="shared" si="19"/>
        <v>.bit 8</v>
      </c>
      <c r="D136" s="15" t="s">
        <v>229</v>
      </c>
      <c r="E136" s="123" t="str">
        <f t="shared" si="20"/>
        <v>0x278</v>
      </c>
      <c r="F136" s="279"/>
      <c r="G136" s="288" t="s">
        <v>923</v>
      </c>
      <c r="H136" s="289" t="s">
        <v>923</v>
      </c>
      <c r="I136" s="565"/>
      <c r="J136" s="289" t="s">
        <v>921</v>
      </c>
      <c r="K136" s="298" t="s">
        <v>928</v>
      </c>
      <c r="L136" s="294">
        <v>0</v>
      </c>
      <c r="M136" s="14"/>
      <c r="N136" s="11"/>
    </row>
    <row r="137" spans="1:14" x14ac:dyDescent="0.45">
      <c r="A137" s="637"/>
      <c r="B137" s="44">
        <f t="shared" si="21"/>
        <v>9</v>
      </c>
      <c r="C137" s="28" t="str">
        <f t="shared" si="19"/>
        <v>.bit 9</v>
      </c>
      <c r="D137" s="15" t="s">
        <v>460</v>
      </c>
      <c r="E137" s="123" t="str">
        <f t="shared" si="20"/>
        <v>0x279</v>
      </c>
      <c r="F137" s="279"/>
      <c r="G137" s="253" t="s">
        <v>924</v>
      </c>
      <c r="H137" s="289" t="s">
        <v>923</v>
      </c>
      <c r="I137" s="565"/>
      <c r="J137" s="289" t="s">
        <v>921</v>
      </c>
      <c r="K137" s="298" t="s">
        <v>928</v>
      </c>
      <c r="L137" s="294">
        <v>0</v>
      </c>
      <c r="M137" s="14"/>
      <c r="N137" s="11"/>
    </row>
    <row r="138" spans="1:14" x14ac:dyDescent="0.45">
      <c r="A138" s="637"/>
      <c r="B138" s="44">
        <f t="shared" si="21"/>
        <v>10</v>
      </c>
      <c r="C138" s="28" t="str">
        <f t="shared" si="19"/>
        <v>.bit 10</v>
      </c>
      <c r="D138" s="15"/>
      <c r="E138" s="123" t="str">
        <f t="shared" si="20"/>
        <v>0x27A</v>
      </c>
      <c r="F138" s="279"/>
      <c r="G138" s="372"/>
      <c r="H138" s="249"/>
      <c r="I138" s="251"/>
      <c r="J138" s="289"/>
      <c r="K138" s="259"/>
      <c r="L138" s="294"/>
      <c r="M138" s="14"/>
      <c r="N138" s="11"/>
    </row>
    <row r="139" spans="1:14" x14ac:dyDescent="0.45">
      <c r="A139" s="637"/>
      <c r="B139" s="44">
        <f t="shared" si="21"/>
        <v>11</v>
      </c>
      <c r="C139" s="28" t="str">
        <f t="shared" si="19"/>
        <v>.bit 11</v>
      </c>
      <c r="D139" s="15"/>
      <c r="E139" s="123" t="str">
        <f t="shared" si="20"/>
        <v>0x27B</v>
      </c>
      <c r="F139" s="279"/>
      <c r="G139" s="372"/>
      <c r="H139" s="249"/>
      <c r="I139" s="251"/>
      <c r="J139" s="289"/>
      <c r="K139" s="259"/>
      <c r="L139" s="294"/>
      <c r="M139" s="14"/>
      <c r="N139" s="11"/>
    </row>
    <row r="140" spans="1:14" x14ac:dyDescent="0.45">
      <c r="A140" s="637"/>
      <c r="B140" s="44">
        <f t="shared" si="21"/>
        <v>12</v>
      </c>
      <c r="C140" s="28" t="str">
        <f t="shared" si="19"/>
        <v>.bit 12</v>
      </c>
      <c r="D140" s="15"/>
      <c r="E140" s="123" t="str">
        <f t="shared" si="20"/>
        <v>0x27C</v>
      </c>
      <c r="F140" s="279"/>
      <c r="G140" s="372"/>
      <c r="H140" s="249"/>
      <c r="I140" s="251"/>
      <c r="J140" s="289"/>
      <c r="K140" s="259"/>
      <c r="L140" s="294"/>
      <c r="M140" s="14"/>
      <c r="N140" s="11"/>
    </row>
    <row r="141" spans="1:14" x14ac:dyDescent="0.45">
      <c r="A141" s="637"/>
      <c r="B141" s="44">
        <f t="shared" si="21"/>
        <v>13</v>
      </c>
      <c r="C141" s="28" t="str">
        <f t="shared" si="19"/>
        <v>.bit 13</v>
      </c>
      <c r="D141" s="15"/>
      <c r="E141" s="123" t="str">
        <f t="shared" si="20"/>
        <v>0x27D</v>
      </c>
      <c r="F141" s="279"/>
      <c r="G141" s="372"/>
      <c r="H141" s="249"/>
      <c r="I141" s="251"/>
      <c r="J141" s="289"/>
      <c r="K141" s="259"/>
      <c r="L141" s="294"/>
      <c r="M141" s="14"/>
      <c r="N141" s="11"/>
    </row>
    <row r="142" spans="1:14" x14ac:dyDescent="0.45">
      <c r="A142" s="637"/>
      <c r="B142" s="44">
        <f t="shared" si="21"/>
        <v>14</v>
      </c>
      <c r="C142" s="28" t="str">
        <f t="shared" si="19"/>
        <v>.bit 14</v>
      </c>
      <c r="D142" s="15"/>
      <c r="E142" s="123" t="str">
        <f t="shared" si="20"/>
        <v>0x27E</v>
      </c>
      <c r="F142" s="275"/>
      <c r="G142" s="470"/>
      <c r="H142" s="415"/>
      <c r="I142" s="585"/>
      <c r="J142" s="260"/>
      <c r="K142" s="260"/>
      <c r="L142" s="308"/>
      <c r="M142" s="20"/>
      <c r="N142" s="11"/>
    </row>
    <row r="143" spans="1:14" x14ac:dyDescent="0.45">
      <c r="A143" s="637"/>
      <c r="B143" s="45">
        <f t="shared" si="21"/>
        <v>15</v>
      </c>
      <c r="C143" s="46" t="str">
        <f t="shared" si="19"/>
        <v>.bit 15</v>
      </c>
      <c r="D143" s="80"/>
      <c r="E143" s="125" t="str">
        <f t="shared" si="20"/>
        <v>0x27F</v>
      </c>
      <c r="F143" s="275"/>
      <c r="G143" s="503"/>
      <c r="H143" s="521"/>
      <c r="I143" s="586"/>
      <c r="J143" s="210"/>
      <c r="K143" s="210"/>
      <c r="L143" s="309"/>
      <c r="M143" s="20"/>
      <c r="N143" s="11"/>
    </row>
    <row r="144" spans="1:14" x14ac:dyDescent="0.45">
      <c r="A144" s="637"/>
      <c r="B144" s="77" t="s">
        <v>322</v>
      </c>
      <c r="C144" s="121" t="str">
        <f>CONCATENATE("0x", DEC2HEX(8+HEX2DEC('inicio zonas'!$C$7)))</f>
        <v>0x28</v>
      </c>
      <c r="D144" s="162"/>
      <c r="E144" s="103"/>
      <c r="F144" s="104"/>
      <c r="G144" s="502"/>
      <c r="H144" s="520"/>
      <c r="I144" s="584"/>
      <c r="J144" s="211"/>
      <c r="K144" s="211"/>
      <c r="L144" s="293"/>
      <c r="M144" s="14"/>
      <c r="N144" s="11"/>
    </row>
    <row r="145" spans="1:14" x14ac:dyDescent="0.45">
      <c r="A145" s="637"/>
      <c r="B145" s="44">
        <v>0</v>
      </c>
      <c r="C145" s="28" t="str">
        <f t="shared" ref="C145:C160" si="22">CONCATENATE(".bit ", B145)</f>
        <v>.bit 0</v>
      </c>
      <c r="D145" s="15" t="s">
        <v>124</v>
      </c>
      <c r="E145" s="123" t="str">
        <f t="shared" ref="E145:E160" si="23">CONCATENATE($C$144,DEC2HEX(B145))</f>
        <v>0x280</v>
      </c>
      <c r="F145" s="274"/>
      <c r="G145" s="495" t="s">
        <v>923</v>
      </c>
      <c r="H145" s="289" t="s">
        <v>923</v>
      </c>
      <c r="I145" s="565"/>
      <c r="J145" s="289" t="s">
        <v>921</v>
      </c>
      <c r="K145" s="298" t="s">
        <v>928</v>
      </c>
      <c r="L145" s="294">
        <v>0</v>
      </c>
      <c r="M145" s="10"/>
      <c r="N145" s="16"/>
    </row>
    <row r="146" spans="1:14" x14ac:dyDescent="0.45">
      <c r="A146" s="637"/>
      <c r="B146" s="44">
        <f t="shared" ref="B146:B160" si="24">B145+1</f>
        <v>1</v>
      </c>
      <c r="C146" s="28" t="str">
        <f t="shared" si="22"/>
        <v>.bit 1</v>
      </c>
      <c r="D146" s="15" t="s">
        <v>123</v>
      </c>
      <c r="E146" s="123" t="str">
        <f t="shared" si="23"/>
        <v>0x281</v>
      </c>
      <c r="F146" s="274"/>
      <c r="G146" s="495" t="s">
        <v>923</v>
      </c>
      <c r="H146" s="289" t="s">
        <v>923</v>
      </c>
      <c r="I146" s="565"/>
      <c r="J146" s="289" t="s">
        <v>921</v>
      </c>
      <c r="K146" s="298" t="s">
        <v>928</v>
      </c>
      <c r="L146" s="294">
        <v>0</v>
      </c>
      <c r="M146" s="10"/>
      <c r="N146" s="16"/>
    </row>
    <row r="147" spans="1:14" x14ac:dyDescent="0.45">
      <c r="A147" s="637"/>
      <c r="B147" s="44">
        <f t="shared" si="24"/>
        <v>2</v>
      </c>
      <c r="C147" s="28" t="str">
        <f t="shared" si="22"/>
        <v>.bit 2</v>
      </c>
      <c r="D147" s="15"/>
      <c r="E147" s="123" t="str">
        <f t="shared" si="23"/>
        <v>0x282</v>
      </c>
      <c r="F147" s="279"/>
      <c r="G147" s="499"/>
      <c r="H147" s="518"/>
      <c r="I147" s="489"/>
      <c r="J147" s="259"/>
      <c r="K147" s="259"/>
      <c r="L147" s="294"/>
      <c r="M147" s="14"/>
      <c r="N147" s="11"/>
    </row>
    <row r="148" spans="1:14" x14ac:dyDescent="0.45">
      <c r="A148" s="637"/>
      <c r="B148" s="44">
        <f t="shared" si="24"/>
        <v>3</v>
      </c>
      <c r="C148" s="28" t="str">
        <f t="shared" si="22"/>
        <v>.bit 3</v>
      </c>
      <c r="D148" s="13"/>
      <c r="E148" s="123" t="str">
        <f t="shared" si="23"/>
        <v>0x283</v>
      </c>
      <c r="F148" s="279"/>
      <c r="G148" s="499"/>
      <c r="H148" s="518"/>
      <c r="I148" s="489"/>
      <c r="J148" s="259"/>
      <c r="K148" s="259"/>
      <c r="L148" s="294"/>
      <c r="M148" s="14"/>
      <c r="N148" s="11"/>
    </row>
    <row r="149" spans="1:14" x14ac:dyDescent="0.45">
      <c r="A149" s="637"/>
      <c r="B149" s="44">
        <f t="shared" si="24"/>
        <v>4</v>
      </c>
      <c r="C149" s="28" t="str">
        <f t="shared" si="22"/>
        <v>.bit 4</v>
      </c>
      <c r="D149" s="15"/>
      <c r="E149" s="123" t="str">
        <f t="shared" si="23"/>
        <v>0x284</v>
      </c>
      <c r="F149" s="279"/>
      <c r="G149" s="499"/>
      <c r="H149" s="518"/>
      <c r="I149" s="489"/>
      <c r="J149" s="259"/>
      <c r="K149" s="259"/>
      <c r="L149" s="294"/>
      <c r="M149" s="14"/>
      <c r="N149" s="11"/>
    </row>
    <row r="150" spans="1:14" x14ac:dyDescent="0.45">
      <c r="A150" s="637"/>
      <c r="B150" s="44">
        <f t="shared" si="24"/>
        <v>5</v>
      </c>
      <c r="C150" s="28" t="str">
        <f t="shared" si="22"/>
        <v>.bit 5</v>
      </c>
      <c r="D150" s="13"/>
      <c r="E150" s="123" t="str">
        <f t="shared" si="23"/>
        <v>0x285</v>
      </c>
      <c r="F150" s="279"/>
      <c r="G150" s="499"/>
      <c r="H150" s="518"/>
      <c r="I150" s="489"/>
      <c r="J150" s="259"/>
      <c r="K150" s="259"/>
      <c r="L150" s="294"/>
      <c r="M150" s="14"/>
      <c r="N150" s="11"/>
    </row>
    <row r="151" spans="1:14" x14ac:dyDescent="0.45">
      <c r="A151" s="637"/>
      <c r="B151" s="44">
        <f t="shared" si="24"/>
        <v>6</v>
      </c>
      <c r="C151" s="28" t="str">
        <f t="shared" si="22"/>
        <v>.bit 6</v>
      </c>
      <c r="D151" s="13"/>
      <c r="E151" s="123" t="str">
        <f t="shared" si="23"/>
        <v>0x286</v>
      </c>
      <c r="F151" s="279"/>
      <c r="G151" s="499"/>
      <c r="H151" s="518"/>
      <c r="I151" s="489"/>
      <c r="J151" s="259"/>
      <c r="K151" s="259"/>
      <c r="L151" s="294"/>
      <c r="M151" s="14"/>
      <c r="N151" s="11"/>
    </row>
    <row r="152" spans="1:14" x14ac:dyDescent="0.45">
      <c r="A152" s="637"/>
      <c r="B152" s="44">
        <f t="shared" si="24"/>
        <v>7</v>
      </c>
      <c r="C152" s="28" t="str">
        <f t="shared" si="22"/>
        <v>.bit 7</v>
      </c>
      <c r="D152" s="13"/>
      <c r="E152" s="123" t="str">
        <f t="shared" si="23"/>
        <v>0x287</v>
      </c>
      <c r="F152" s="279"/>
      <c r="G152" s="499"/>
      <c r="H152" s="518"/>
      <c r="I152" s="489"/>
      <c r="J152" s="259"/>
      <c r="K152" s="259"/>
      <c r="L152" s="294"/>
      <c r="M152" s="14"/>
      <c r="N152" s="11"/>
    </row>
    <row r="153" spans="1:14" x14ac:dyDescent="0.45">
      <c r="A153" s="637"/>
      <c r="B153" s="44">
        <f t="shared" si="24"/>
        <v>8</v>
      </c>
      <c r="C153" s="28" t="str">
        <f t="shared" si="22"/>
        <v>.bit 8</v>
      </c>
      <c r="D153" s="13"/>
      <c r="E153" s="123" t="str">
        <f t="shared" si="23"/>
        <v>0x288</v>
      </c>
      <c r="F153" s="279"/>
      <c r="G153" s="499"/>
      <c r="H153" s="518"/>
      <c r="I153" s="489"/>
      <c r="J153" s="259"/>
      <c r="K153" s="259"/>
      <c r="L153" s="294"/>
      <c r="M153" s="14"/>
      <c r="N153" s="11"/>
    </row>
    <row r="154" spans="1:14" x14ac:dyDescent="0.45">
      <c r="A154" s="637"/>
      <c r="B154" s="44">
        <f t="shared" si="24"/>
        <v>9</v>
      </c>
      <c r="C154" s="28" t="str">
        <f t="shared" si="22"/>
        <v>.bit 9</v>
      </c>
      <c r="D154" s="13"/>
      <c r="E154" s="123" t="str">
        <f t="shared" si="23"/>
        <v>0x289</v>
      </c>
      <c r="F154" s="279"/>
      <c r="G154" s="499"/>
      <c r="H154" s="518"/>
      <c r="I154" s="489"/>
      <c r="J154" s="259"/>
      <c r="K154" s="259"/>
      <c r="L154" s="294"/>
      <c r="M154" s="14"/>
      <c r="N154" s="11"/>
    </row>
    <row r="155" spans="1:14" x14ac:dyDescent="0.45">
      <c r="A155" s="637"/>
      <c r="B155" s="44">
        <f t="shared" si="24"/>
        <v>10</v>
      </c>
      <c r="C155" s="28" t="str">
        <f t="shared" si="22"/>
        <v>.bit 10</v>
      </c>
      <c r="D155" s="13"/>
      <c r="E155" s="123" t="str">
        <f t="shared" si="23"/>
        <v>0x28A</v>
      </c>
      <c r="F155" s="279"/>
      <c r="G155" s="499"/>
      <c r="H155" s="518"/>
      <c r="I155" s="489"/>
      <c r="J155" s="259"/>
      <c r="K155" s="259"/>
      <c r="L155" s="294"/>
      <c r="M155" s="14"/>
      <c r="N155" s="11"/>
    </row>
    <row r="156" spans="1:14" x14ac:dyDescent="0.45">
      <c r="A156" s="637"/>
      <c r="B156" s="44">
        <f t="shared" si="24"/>
        <v>11</v>
      </c>
      <c r="C156" s="28" t="str">
        <f t="shared" si="22"/>
        <v>.bit 11</v>
      </c>
      <c r="D156" s="13"/>
      <c r="E156" s="123" t="str">
        <f t="shared" si="23"/>
        <v>0x28B</v>
      </c>
      <c r="F156" s="279"/>
      <c r="G156" s="499"/>
      <c r="H156" s="518"/>
      <c r="I156" s="489"/>
      <c r="J156" s="259"/>
      <c r="K156" s="259"/>
      <c r="L156" s="294"/>
      <c r="M156" s="14"/>
      <c r="N156" s="11"/>
    </row>
    <row r="157" spans="1:14" x14ac:dyDescent="0.45">
      <c r="A157" s="637"/>
      <c r="B157" s="44">
        <f t="shared" si="24"/>
        <v>12</v>
      </c>
      <c r="C157" s="28" t="str">
        <f t="shared" si="22"/>
        <v>.bit 12</v>
      </c>
      <c r="D157" s="13"/>
      <c r="E157" s="123" t="str">
        <f t="shared" si="23"/>
        <v>0x28C</v>
      </c>
      <c r="F157" s="279"/>
      <c r="G157" s="499"/>
      <c r="H157" s="518"/>
      <c r="I157" s="489"/>
      <c r="J157" s="259"/>
      <c r="K157" s="259"/>
      <c r="L157" s="294"/>
      <c r="M157" s="14"/>
      <c r="N157" s="11"/>
    </row>
    <row r="158" spans="1:14" x14ac:dyDescent="0.45">
      <c r="A158" s="637"/>
      <c r="B158" s="44">
        <f t="shared" si="24"/>
        <v>13</v>
      </c>
      <c r="C158" s="28" t="str">
        <f t="shared" si="22"/>
        <v>.bit 13</v>
      </c>
      <c r="D158" s="13"/>
      <c r="E158" s="123" t="str">
        <f t="shared" si="23"/>
        <v>0x28D</v>
      </c>
      <c r="F158" s="279"/>
      <c r="G158" s="499"/>
      <c r="H158" s="518"/>
      <c r="I158" s="489"/>
      <c r="J158" s="259"/>
      <c r="K158" s="259"/>
      <c r="L158" s="294"/>
      <c r="M158" s="14"/>
      <c r="N158" s="11"/>
    </row>
    <row r="159" spans="1:14" x14ac:dyDescent="0.45">
      <c r="A159" s="637"/>
      <c r="B159" s="44">
        <f t="shared" si="24"/>
        <v>14</v>
      </c>
      <c r="C159" s="28" t="str">
        <f t="shared" si="22"/>
        <v>.bit 14</v>
      </c>
      <c r="D159" s="13"/>
      <c r="E159" s="123" t="str">
        <f t="shared" si="23"/>
        <v>0x28E</v>
      </c>
      <c r="F159" s="275"/>
      <c r="G159" s="470"/>
      <c r="H159" s="415"/>
      <c r="I159" s="585"/>
      <c r="J159" s="260"/>
      <c r="K159" s="260"/>
      <c r="L159" s="308"/>
      <c r="M159" s="20"/>
      <c r="N159" s="11"/>
    </row>
    <row r="160" spans="1:14" x14ac:dyDescent="0.45">
      <c r="A160" s="637"/>
      <c r="B160" s="45">
        <f t="shared" si="24"/>
        <v>15</v>
      </c>
      <c r="C160" s="46" t="str">
        <f t="shared" si="22"/>
        <v>.bit 15</v>
      </c>
      <c r="D160" s="49"/>
      <c r="E160" s="125" t="str">
        <f t="shared" si="23"/>
        <v>0x28F</v>
      </c>
      <c r="F160" s="275"/>
      <c r="G160" s="503"/>
      <c r="H160" s="521"/>
      <c r="I160" s="586"/>
      <c r="J160" s="210"/>
      <c r="K160" s="210"/>
      <c r="L160" s="309"/>
      <c r="M160" s="20"/>
      <c r="N160" s="11"/>
    </row>
    <row r="161" spans="1:22" x14ac:dyDescent="0.45">
      <c r="A161" s="637"/>
      <c r="B161" s="77" t="s">
        <v>324</v>
      </c>
      <c r="C161" s="121" t="str">
        <f>CONCATENATE("0x", DEC2HEX(9+HEX2DEC('inicio zonas'!$C$7)))</f>
        <v>0x29</v>
      </c>
      <c r="D161" s="23"/>
      <c r="E161" s="103"/>
      <c r="F161" s="104"/>
      <c r="G161" s="502"/>
      <c r="H161" s="520"/>
      <c r="I161" s="584"/>
      <c r="J161" s="211"/>
      <c r="K161" s="211"/>
      <c r="L161" s="293"/>
      <c r="M161" s="14"/>
      <c r="N161" s="11"/>
    </row>
    <row r="162" spans="1:22" x14ac:dyDescent="0.45">
      <c r="A162" s="637"/>
      <c r="B162" s="44">
        <v>0</v>
      </c>
      <c r="C162" s="28" t="str">
        <f t="shared" ref="C162:C177" si="25">CONCATENATE(".bit ", B162)</f>
        <v>.bit 0</v>
      </c>
      <c r="D162" s="15" t="s">
        <v>106</v>
      </c>
      <c r="E162" s="42" t="s">
        <v>732</v>
      </c>
      <c r="F162" s="274"/>
      <c r="G162" s="495" t="s">
        <v>923</v>
      </c>
      <c r="H162" s="254" t="s">
        <v>924</v>
      </c>
      <c r="I162" s="258"/>
      <c r="J162" s="289" t="s">
        <v>921</v>
      </c>
      <c r="K162" s="298" t="s">
        <v>928</v>
      </c>
      <c r="L162" s="294">
        <v>0</v>
      </c>
      <c r="M162" s="10"/>
      <c r="N162" s="16"/>
    </row>
    <row r="163" spans="1:22" x14ac:dyDescent="0.45">
      <c r="A163" s="637"/>
      <c r="B163" s="44">
        <f t="shared" ref="B163:B177" si="26">B162+1</f>
        <v>1</v>
      </c>
      <c r="C163" s="28" t="str">
        <f t="shared" si="25"/>
        <v>.bit 1</v>
      </c>
      <c r="D163" s="15" t="s">
        <v>105</v>
      </c>
      <c r="E163" s="42" t="s">
        <v>734</v>
      </c>
      <c r="F163" s="274"/>
      <c r="G163" s="495" t="s">
        <v>923</v>
      </c>
      <c r="H163" s="254" t="s">
        <v>924</v>
      </c>
      <c r="I163" s="258"/>
      <c r="J163" s="289" t="s">
        <v>921</v>
      </c>
      <c r="K163" s="298" t="s">
        <v>928</v>
      </c>
      <c r="L163" s="294">
        <v>0</v>
      </c>
      <c r="M163" s="10"/>
      <c r="N163" s="16"/>
    </row>
    <row r="164" spans="1:22" x14ac:dyDescent="0.45">
      <c r="A164" s="637"/>
      <c r="B164" s="44">
        <f t="shared" si="26"/>
        <v>2</v>
      </c>
      <c r="C164" s="28" t="str">
        <f t="shared" si="25"/>
        <v>.bit 2</v>
      </c>
      <c r="D164" s="15"/>
      <c r="E164" s="42" t="s">
        <v>735</v>
      </c>
      <c r="F164" s="279"/>
      <c r="G164" s="499"/>
      <c r="H164" s="518"/>
      <c r="I164" s="489"/>
      <c r="J164" s="259"/>
      <c r="K164" s="259"/>
      <c r="L164" s="294"/>
      <c r="M164" s="14"/>
      <c r="N164" s="11"/>
    </row>
    <row r="165" spans="1:22" x14ac:dyDescent="0.45">
      <c r="A165" s="637"/>
      <c r="B165" s="44">
        <f t="shared" si="26"/>
        <v>3</v>
      </c>
      <c r="C165" s="28" t="str">
        <f t="shared" si="25"/>
        <v>.bit 3</v>
      </c>
      <c r="D165" s="13"/>
      <c r="E165" s="42" t="s">
        <v>736</v>
      </c>
      <c r="F165" s="279"/>
      <c r="G165" s="499"/>
      <c r="H165" s="518"/>
      <c r="I165" s="489"/>
      <c r="J165" s="259"/>
      <c r="K165" s="259"/>
      <c r="L165" s="294"/>
      <c r="M165" s="14"/>
      <c r="N165" s="11"/>
    </row>
    <row r="166" spans="1:22" x14ac:dyDescent="0.45">
      <c r="A166" s="637"/>
      <c r="B166" s="44">
        <f t="shared" si="26"/>
        <v>4</v>
      </c>
      <c r="C166" s="28" t="str">
        <f t="shared" si="25"/>
        <v>.bit 4</v>
      </c>
      <c r="D166" s="15"/>
      <c r="E166" s="42" t="s">
        <v>737</v>
      </c>
      <c r="F166" s="279"/>
      <c r="G166" s="499"/>
      <c r="H166" s="518"/>
      <c r="I166" s="489"/>
      <c r="J166" s="259"/>
      <c r="K166" s="259"/>
      <c r="L166" s="294"/>
      <c r="M166" s="14"/>
      <c r="N166" s="11"/>
    </row>
    <row r="167" spans="1:22" x14ac:dyDescent="0.45">
      <c r="A167" s="637"/>
      <c r="B167" s="44">
        <f t="shared" si="26"/>
        <v>5</v>
      </c>
      <c r="C167" s="28" t="str">
        <f t="shared" si="25"/>
        <v>.bit 5</v>
      </c>
      <c r="D167" s="13"/>
      <c r="E167" s="42" t="s">
        <v>738</v>
      </c>
      <c r="F167" s="279"/>
      <c r="G167" s="499"/>
      <c r="H167" s="518"/>
      <c r="I167" s="489"/>
      <c r="J167" s="259"/>
      <c r="K167" s="259"/>
      <c r="L167" s="294"/>
      <c r="M167" s="14"/>
      <c r="N167" s="11"/>
    </row>
    <row r="168" spans="1:22" x14ac:dyDescent="0.45">
      <c r="A168" s="637"/>
      <c r="B168" s="44">
        <f t="shared" si="26"/>
        <v>6</v>
      </c>
      <c r="C168" s="28" t="str">
        <f t="shared" si="25"/>
        <v>.bit 6</v>
      </c>
      <c r="D168" s="13"/>
      <c r="E168" s="42" t="s">
        <v>739</v>
      </c>
      <c r="F168" s="279"/>
      <c r="G168" s="499"/>
      <c r="H168" s="518"/>
      <c r="I168" s="489"/>
      <c r="J168" s="259"/>
      <c r="K168" s="259"/>
      <c r="L168" s="294"/>
      <c r="M168" s="14"/>
      <c r="N168" s="11"/>
    </row>
    <row r="169" spans="1:22" x14ac:dyDescent="0.45">
      <c r="A169" s="637"/>
      <c r="B169" s="44">
        <f t="shared" si="26"/>
        <v>7</v>
      </c>
      <c r="C169" s="28" t="str">
        <f t="shared" si="25"/>
        <v>.bit 7</v>
      </c>
      <c r="D169" s="13"/>
      <c r="E169" s="42" t="s">
        <v>740</v>
      </c>
      <c r="F169" s="279"/>
      <c r="G169" s="499"/>
      <c r="H169" s="518"/>
      <c r="I169" s="489"/>
      <c r="J169" s="259"/>
      <c r="K169" s="259"/>
      <c r="L169" s="294"/>
      <c r="M169" s="14"/>
      <c r="N169" s="11"/>
    </row>
    <row r="170" spans="1:22" x14ac:dyDescent="0.45">
      <c r="A170" s="637"/>
      <c r="B170" s="44">
        <f t="shared" si="26"/>
        <v>8</v>
      </c>
      <c r="C170" s="28" t="str">
        <f t="shared" si="25"/>
        <v>.bit 8</v>
      </c>
      <c r="D170" s="13"/>
      <c r="E170" s="42" t="s">
        <v>741</v>
      </c>
      <c r="F170" s="279"/>
      <c r="G170" s="499"/>
      <c r="H170" s="518"/>
      <c r="I170" s="489"/>
      <c r="J170" s="259"/>
      <c r="K170" s="259"/>
      <c r="L170" s="294"/>
      <c r="M170" s="14"/>
      <c r="N170" s="11"/>
    </row>
    <row r="171" spans="1:22" x14ac:dyDescent="0.45">
      <c r="A171" s="637"/>
      <c r="B171" s="44">
        <f t="shared" si="26"/>
        <v>9</v>
      </c>
      <c r="C171" s="28" t="str">
        <f t="shared" si="25"/>
        <v>.bit 9</v>
      </c>
      <c r="D171" s="13"/>
      <c r="E171" s="42" t="s">
        <v>742</v>
      </c>
      <c r="F171" s="279"/>
      <c r="G171" s="499"/>
      <c r="H171" s="518"/>
      <c r="I171" s="489"/>
      <c r="J171" s="259"/>
      <c r="K171" s="259"/>
      <c r="L171" s="294"/>
      <c r="M171" s="14"/>
      <c r="N171" s="11"/>
    </row>
    <row r="172" spans="1:22" x14ac:dyDescent="0.45">
      <c r="A172" s="637"/>
      <c r="B172" s="44">
        <f t="shared" si="26"/>
        <v>10</v>
      </c>
      <c r="C172" s="28" t="str">
        <f t="shared" si="25"/>
        <v>.bit 10</v>
      </c>
      <c r="D172" s="13"/>
      <c r="E172" s="42" t="s">
        <v>743</v>
      </c>
      <c r="F172" s="279"/>
      <c r="G172" s="499"/>
      <c r="H172" s="518"/>
      <c r="I172" s="489"/>
      <c r="J172" s="259"/>
      <c r="K172" s="259"/>
      <c r="L172" s="294"/>
      <c r="M172" s="14"/>
      <c r="N172" s="11"/>
    </row>
    <row r="173" spans="1:22" x14ac:dyDescent="0.45">
      <c r="A173" s="637"/>
      <c r="B173" s="44">
        <f t="shared" si="26"/>
        <v>11</v>
      </c>
      <c r="C173" s="28" t="str">
        <f t="shared" si="25"/>
        <v>.bit 11</v>
      </c>
      <c r="D173" s="13"/>
      <c r="E173" s="42" t="s">
        <v>744</v>
      </c>
      <c r="F173" s="279"/>
      <c r="G173" s="499"/>
      <c r="H173" s="518"/>
      <c r="I173" s="489"/>
      <c r="J173" s="259"/>
      <c r="K173" s="259"/>
      <c r="L173" s="294"/>
      <c r="M173" s="14"/>
      <c r="N173" s="11"/>
    </row>
    <row r="174" spans="1:22" x14ac:dyDescent="0.45">
      <c r="A174" s="637"/>
      <c r="B174" s="44">
        <f t="shared" si="26"/>
        <v>12</v>
      </c>
      <c r="C174" s="28" t="str">
        <f t="shared" si="25"/>
        <v>.bit 12</v>
      </c>
      <c r="D174" s="13"/>
      <c r="E174" s="42" t="s">
        <v>745</v>
      </c>
      <c r="F174" s="279"/>
      <c r="G174" s="499"/>
      <c r="H174" s="518"/>
      <c r="I174" s="489"/>
      <c r="J174" s="259"/>
      <c r="K174" s="259"/>
      <c r="L174" s="294"/>
      <c r="M174" s="14"/>
      <c r="N174" s="11"/>
    </row>
    <row r="175" spans="1:22" x14ac:dyDescent="0.45">
      <c r="A175" s="637"/>
      <c r="B175" s="44">
        <f t="shared" si="26"/>
        <v>13</v>
      </c>
      <c r="C175" s="28" t="str">
        <f t="shared" si="25"/>
        <v>.bit 13</v>
      </c>
      <c r="D175" s="13"/>
      <c r="E175" s="42" t="s">
        <v>746</v>
      </c>
      <c r="F175" s="279"/>
      <c r="G175" s="499"/>
      <c r="H175" s="518"/>
      <c r="I175" s="489"/>
      <c r="J175" s="259"/>
      <c r="K175" s="259"/>
      <c r="L175" s="294"/>
      <c r="M175" s="14"/>
      <c r="N175" s="483"/>
      <c r="O175" s="86"/>
      <c r="P175" s="86"/>
      <c r="Q175" s="86"/>
      <c r="R175" s="86"/>
      <c r="S175" s="86"/>
      <c r="T175" s="86"/>
      <c r="U175" s="86"/>
      <c r="V175" s="86"/>
    </row>
    <row r="176" spans="1:22" x14ac:dyDescent="0.45">
      <c r="A176" s="637"/>
      <c r="B176" s="44">
        <f t="shared" si="26"/>
        <v>14</v>
      </c>
      <c r="C176" s="28" t="str">
        <f t="shared" si="25"/>
        <v>.bit 14</v>
      </c>
      <c r="D176" s="13"/>
      <c r="E176" s="42" t="s">
        <v>747</v>
      </c>
      <c r="F176" s="275"/>
      <c r="G176" s="470"/>
      <c r="H176" s="415"/>
      <c r="I176" s="585"/>
      <c r="J176" s="260"/>
      <c r="K176" s="260"/>
      <c r="L176" s="308"/>
      <c r="M176" s="20"/>
      <c r="N176" s="483"/>
      <c r="O176" s="86"/>
      <c r="P176" s="86"/>
      <c r="Q176" s="86"/>
      <c r="R176" s="86"/>
      <c r="S176" s="86"/>
      <c r="T176" s="86"/>
      <c r="U176" s="86"/>
      <c r="V176" s="86"/>
    </row>
    <row r="177" spans="1:24" x14ac:dyDescent="0.45">
      <c r="A177" s="637"/>
      <c r="B177" s="45">
        <f t="shared" si="26"/>
        <v>15</v>
      </c>
      <c r="C177" s="46" t="str">
        <f t="shared" si="25"/>
        <v>.bit 15</v>
      </c>
      <c r="D177" s="49"/>
      <c r="E177" s="42" t="s">
        <v>748</v>
      </c>
      <c r="F177" s="275"/>
      <c r="G177" s="503"/>
      <c r="H177" s="521"/>
      <c r="I177" s="586"/>
      <c r="J177" s="210"/>
      <c r="K177" s="210"/>
      <c r="L177" s="309"/>
      <c r="M177" s="20"/>
      <c r="N177" s="344"/>
      <c r="O177" s="81"/>
      <c r="P177" s="81"/>
      <c r="Q177" s="81"/>
      <c r="R177" s="81"/>
      <c r="S177" s="81"/>
      <c r="T177" s="81"/>
      <c r="U177" s="81"/>
      <c r="V177" s="81"/>
      <c r="W177" s="21"/>
      <c r="X177" s="21"/>
    </row>
    <row r="178" spans="1:24" x14ac:dyDescent="0.45">
      <c r="A178" s="637"/>
      <c r="B178" s="473" t="s">
        <v>398</v>
      </c>
      <c r="C178" s="405" t="str">
        <f>CONCATENATE("0x", DEC2HEX(10+HEX2DEC('[1]inicio zonas'!$C$7)))</f>
        <v>0x2A</v>
      </c>
      <c r="D178" s="474"/>
      <c r="E178" s="475"/>
      <c r="F178" s="476"/>
      <c r="G178" s="498"/>
      <c r="H178" s="517"/>
      <c r="I178" s="579"/>
      <c r="J178" s="477"/>
      <c r="K178" s="477"/>
      <c r="L178" s="293"/>
      <c r="M178" s="471"/>
      <c r="N178" s="478"/>
      <c r="O178" s="10"/>
      <c r="P178" s="471"/>
      <c r="Q178" s="471"/>
      <c r="R178" s="478"/>
      <c r="S178" s="10"/>
      <c r="T178" s="344"/>
      <c r="U178" s="81"/>
      <c r="V178" s="81"/>
      <c r="W178" s="21"/>
      <c r="X178" s="21"/>
    </row>
    <row r="179" spans="1:24" x14ac:dyDescent="0.45">
      <c r="A179" s="637"/>
      <c r="B179" s="355">
        <v>0</v>
      </c>
      <c r="C179" s="28" t="str">
        <f>CONCATENATE(".bit ", B179)</f>
        <v>.bit 0</v>
      </c>
      <c r="D179" s="13" t="s">
        <v>399</v>
      </c>
      <c r="E179" s="123" t="s">
        <v>733</v>
      </c>
      <c r="F179" s="274"/>
      <c r="G179" s="495" t="s">
        <v>936</v>
      </c>
      <c r="H179" s="289" t="s">
        <v>936</v>
      </c>
      <c r="I179" s="565"/>
      <c r="J179" s="289" t="s">
        <v>545</v>
      </c>
      <c r="K179" s="310" t="s">
        <v>937</v>
      </c>
      <c r="L179" s="294">
        <v>0</v>
      </c>
      <c r="M179" s="481"/>
      <c r="N179" s="478"/>
      <c r="O179" s="81"/>
      <c r="P179" s="478"/>
      <c r="Q179" s="478"/>
      <c r="R179" s="478"/>
      <c r="S179" s="10"/>
      <c r="T179" s="15"/>
      <c r="U179" s="81"/>
      <c r="V179" s="81"/>
      <c r="W179" s="21"/>
      <c r="X179" s="21"/>
    </row>
    <row r="180" spans="1:24" x14ac:dyDescent="0.45">
      <c r="A180" s="637"/>
      <c r="B180" s="355">
        <f>B179+1</f>
        <v>1</v>
      </c>
      <c r="C180" s="28" t="str">
        <f t="shared" ref="C180:C194" si="27">CONCATENATE(".bit ", B180)</f>
        <v>.bit 1</v>
      </c>
      <c r="D180" s="13" t="s">
        <v>938</v>
      </c>
      <c r="E180" s="123" t="s">
        <v>749</v>
      </c>
      <c r="F180" s="274"/>
      <c r="G180" s="495" t="s">
        <v>936</v>
      </c>
      <c r="H180" s="289" t="s">
        <v>936</v>
      </c>
      <c r="I180" s="565"/>
      <c r="J180" s="289" t="s">
        <v>545</v>
      </c>
      <c r="K180" s="310" t="s">
        <v>937</v>
      </c>
      <c r="L180" s="294">
        <v>0</v>
      </c>
      <c r="M180" s="478"/>
      <c r="N180" s="478"/>
      <c r="O180" s="10"/>
      <c r="P180" s="478"/>
      <c r="Q180" s="478"/>
      <c r="R180" s="478"/>
      <c r="S180" s="10"/>
      <c r="T180" s="15"/>
      <c r="U180" s="81"/>
      <c r="V180" s="81"/>
      <c r="W180" s="21"/>
      <c r="X180" s="21"/>
    </row>
    <row r="181" spans="1:24" x14ac:dyDescent="0.45">
      <c r="A181" s="637"/>
      <c r="B181" s="355">
        <f t="shared" ref="B181:B194" si="28">B180+1</f>
        <v>2</v>
      </c>
      <c r="C181" s="28" t="str">
        <f t="shared" si="27"/>
        <v>.bit 2</v>
      </c>
      <c r="D181" s="13"/>
      <c r="E181" s="123" t="s">
        <v>750</v>
      </c>
      <c r="F181" s="279"/>
      <c r="G181" s="499"/>
      <c r="H181" s="518"/>
      <c r="I181" s="489"/>
      <c r="J181" s="259"/>
      <c r="K181" s="259"/>
      <c r="L181" s="294"/>
      <c r="M181" s="478"/>
      <c r="N181" s="478"/>
      <c r="O181" s="10"/>
      <c r="P181" s="478"/>
      <c r="Q181" s="478"/>
      <c r="R181" s="478"/>
      <c r="S181" s="10"/>
      <c r="T181" s="344"/>
      <c r="U181" s="81"/>
      <c r="V181" s="81"/>
      <c r="W181" s="21"/>
      <c r="X181" s="21"/>
    </row>
    <row r="182" spans="1:24" x14ac:dyDescent="0.45">
      <c r="A182" s="637"/>
      <c r="B182" s="355">
        <f t="shared" si="28"/>
        <v>3</v>
      </c>
      <c r="C182" s="28" t="str">
        <f t="shared" si="27"/>
        <v>.bit 3</v>
      </c>
      <c r="D182" s="13"/>
      <c r="E182" s="123" t="s">
        <v>751</v>
      </c>
      <c r="F182" s="279"/>
      <c r="G182" s="499"/>
      <c r="H182" s="518"/>
      <c r="I182" s="489"/>
      <c r="J182" s="259"/>
      <c r="K182" s="259"/>
      <c r="L182" s="294"/>
      <c r="M182" s="478"/>
      <c r="N182" s="478"/>
      <c r="O182" s="10"/>
      <c r="P182" s="478"/>
      <c r="Q182" s="478"/>
      <c r="R182" s="478"/>
      <c r="S182" s="10"/>
      <c r="T182" s="344"/>
      <c r="U182" s="81"/>
      <c r="V182" s="81"/>
      <c r="W182" s="21"/>
      <c r="X182" s="21"/>
    </row>
    <row r="183" spans="1:24" x14ac:dyDescent="0.45">
      <c r="A183" s="637"/>
      <c r="B183" s="355">
        <f t="shared" si="28"/>
        <v>4</v>
      </c>
      <c r="C183" s="28" t="str">
        <f t="shared" si="27"/>
        <v>.bit 4</v>
      </c>
      <c r="D183" s="13"/>
      <c r="E183" s="123" t="s">
        <v>752</v>
      </c>
      <c r="F183" s="279"/>
      <c r="G183" s="499"/>
      <c r="H183" s="518"/>
      <c r="I183" s="489"/>
      <c r="J183" s="259"/>
      <c r="K183" s="259"/>
      <c r="L183" s="294"/>
      <c r="M183" s="478"/>
      <c r="N183" s="478"/>
      <c r="O183" s="10"/>
      <c r="P183" s="478"/>
      <c r="Q183" s="478"/>
      <c r="R183" s="478"/>
      <c r="S183" s="10"/>
      <c r="T183" s="344"/>
      <c r="U183" s="81"/>
      <c r="V183" s="81"/>
      <c r="W183" s="21"/>
      <c r="X183" s="21"/>
    </row>
    <row r="184" spans="1:24" x14ac:dyDescent="0.45">
      <c r="A184" s="637"/>
      <c r="B184" s="355">
        <f t="shared" si="28"/>
        <v>5</v>
      </c>
      <c r="C184" s="28" t="str">
        <f t="shared" si="27"/>
        <v>.bit 5</v>
      </c>
      <c r="D184" s="13"/>
      <c r="E184" s="123" t="s">
        <v>753</v>
      </c>
      <c r="F184" s="279"/>
      <c r="G184" s="499"/>
      <c r="H184" s="518"/>
      <c r="I184" s="489"/>
      <c r="J184" s="259"/>
      <c r="K184" s="259"/>
      <c r="L184" s="294"/>
      <c r="M184" s="478"/>
      <c r="N184" s="478"/>
      <c r="O184" s="10"/>
      <c r="P184" s="478"/>
      <c r="Q184" s="478"/>
      <c r="R184" s="478"/>
      <c r="S184" s="10"/>
      <c r="T184" s="344"/>
      <c r="U184" s="81"/>
      <c r="V184" s="81"/>
      <c r="W184" s="21"/>
      <c r="X184" s="21"/>
    </row>
    <row r="185" spans="1:24" x14ac:dyDescent="0.45">
      <c r="A185" s="637"/>
      <c r="B185" s="355">
        <f t="shared" si="28"/>
        <v>6</v>
      </c>
      <c r="C185" s="28" t="str">
        <f t="shared" si="27"/>
        <v>.bit 6</v>
      </c>
      <c r="D185" s="13"/>
      <c r="E185" s="123" t="s">
        <v>754</v>
      </c>
      <c r="F185" s="279"/>
      <c r="G185" s="499"/>
      <c r="H185" s="518"/>
      <c r="I185" s="489"/>
      <c r="J185" s="259"/>
      <c r="K185" s="259"/>
      <c r="L185" s="294"/>
      <c r="M185" s="478"/>
      <c r="N185" s="478"/>
      <c r="O185" s="10"/>
      <c r="P185" s="478"/>
      <c r="Q185" s="478"/>
      <c r="R185" s="478"/>
      <c r="S185" s="10"/>
      <c r="T185" s="344"/>
      <c r="U185" s="81"/>
      <c r="V185" s="81"/>
      <c r="W185" s="21"/>
      <c r="X185" s="21"/>
    </row>
    <row r="186" spans="1:24" x14ac:dyDescent="0.45">
      <c r="A186" s="637"/>
      <c r="B186" s="355">
        <f t="shared" si="28"/>
        <v>7</v>
      </c>
      <c r="C186" s="28" t="str">
        <f t="shared" si="27"/>
        <v>.bit 7</v>
      </c>
      <c r="D186" s="13"/>
      <c r="E186" s="123" t="s">
        <v>755</v>
      </c>
      <c r="F186" s="279"/>
      <c r="G186" s="499"/>
      <c r="H186" s="518"/>
      <c r="I186" s="489"/>
      <c r="J186" s="259"/>
      <c r="K186" s="259"/>
      <c r="L186" s="294"/>
      <c r="M186" s="478"/>
      <c r="N186" s="478"/>
      <c r="O186" s="10"/>
      <c r="P186" s="478"/>
      <c r="Q186" s="478"/>
      <c r="R186" s="478"/>
      <c r="S186" s="10"/>
      <c r="T186" s="344"/>
      <c r="U186" s="81"/>
      <c r="V186" s="81"/>
      <c r="W186" s="21"/>
      <c r="X186" s="21"/>
    </row>
    <row r="187" spans="1:24" x14ac:dyDescent="0.45">
      <c r="A187" s="637"/>
      <c r="B187" s="355">
        <f t="shared" si="28"/>
        <v>8</v>
      </c>
      <c r="C187" s="28" t="str">
        <f t="shared" si="27"/>
        <v>.bit 8</v>
      </c>
      <c r="D187" s="13"/>
      <c r="E187" s="123" t="s">
        <v>756</v>
      </c>
      <c r="F187" s="279"/>
      <c r="G187" s="499"/>
      <c r="H187" s="518"/>
      <c r="I187" s="489"/>
      <c r="J187" s="259"/>
      <c r="K187" s="259"/>
      <c r="L187" s="294"/>
      <c r="M187" s="478"/>
      <c r="N187" s="478"/>
      <c r="O187" s="10"/>
      <c r="P187" s="478"/>
      <c r="Q187" s="478"/>
      <c r="R187" s="478"/>
      <c r="S187" s="10"/>
      <c r="T187" s="344"/>
      <c r="U187" s="81"/>
      <c r="V187" s="81"/>
      <c r="W187" s="21"/>
      <c r="X187" s="21"/>
    </row>
    <row r="188" spans="1:24" x14ac:dyDescent="0.45">
      <c r="A188" s="637"/>
      <c r="B188" s="355">
        <f t="shared" si="28"/>
        <v>9</v>
      </c>
      <c r="C188" s="28" t="str">
        <f t="shared" si="27"/>
        <v>.bit 9</v>
      </c>
      <c r="D188" s="13"/>
      <c r="E188" s="123" t="s">
        <v>757</v>
      </c>
      <c r="F188" s="279"/>
      <c r="G188" s="499"/>
      <c r="H188" s="518"/>
      <c r="I188" s="489"/>
      <c r="J188" s="259"/>
      <c r="K188" s="259"/>
      <c r="L188" s="294"/>
      <c r="M188" s="478"/>
      <c r="N188" s="478"/>
      <c r="O188" s="10"/>
      <c r="P188" s="478"/>
      <c r="Q188" s="478"/>
      <c r="R188" s="478"/>
      <c r="S188" s="10"/>
      <c r="T188" s="344"/>
      <c r="U188" s="81"/>
      <c r="V188" s="81"/>
      <c r="W188" s="21"/>
      <c r="X188" s="21"/>
    </row>
    <row r="189" spans="1:24" x14ac:dyDescent="0.45">
      <c r="A189" s="637"/>
      <c r="B189" s="355">
        <f t="shared" si="28"/>
        <v>10</v>
      </c>
      <c r="C189" s="28" t="str">
        <f t="shared" si="27"/>
        <v>.bit 10</v>
      </c>
      <c r="D189" s="13"/>
      <c r="E189" s="123" t="s">
        <v>758</v>
      </c>
      <c r="F189" s="279"/>
      <c r="G189" s="499"/>
      <c r="H189" s="518"/>
      <c r="I189" s="489"/>
      <c r="J189" s="259"/>
      <c r="K189" s="259"/>
      <c r="L189" s="294"/>
      <c r="M189" s="478"/>
      <c r="N189" s="478"/>
      <c r="O189" s="10"/>
      <c r="P189" s="478"/>
      <c r="Q189" s="478"/>
      <c r="R189" s="478"/>
      <c r="S189" s="14"/>
      <c r="T189" s="20"/>
      <c r="U189" s="21"/>
      <c r="V189" s="21"/>
      <c r="W189" s="21"/>
      <c r="X189" s="21"/>
    </row>
    <row r="190" spans="1:24" x14ac:dyDescent="0.45">
      <c r="A190" s="637"/>
      <c r="B190" s="355">
        <f t="shared" si="28"/>
        <v>11</v>
      </c>
      <c r="C190" s="28" t="str">
        <f t="shared" si="27"/>
        <v>.bit 11</v>
      </c>
      <c r="D190" s="13"/>
      <c r="E190" s="123" t="s">
        <v>759</v>
      </c>
      <c r="F190" s="279"/>
      <c r="G190" s="499"/>
      <c r="H190" s="518"/>
      <c r="I190" s="489"/>
      <c r="J190" s="259"/>
      <c r="K190" s="259"/>
      <c r="L190" s="294"/>
      <c r="M190" s="478"/>
      <c r="N190" s="478"/>
      <c r="O190" s="10"/>
      <c r="P190" s="478"/>
      <c r="Q190" s="478"/>
      <c r="R190" s="478"/>
      <c r="S190" s="14"/>
      <c r="T190" s="20"/>
      <c r="U190" s="21"/>
      <c r="V190" s="21"/>
      <c r="W190" s="21"/>
      <c r="X190" s="21"/>
    </row>
    <row r="191" spans="1:24" x14ac:dyDescent="0.45">
      <c r="A191" s="637"/>
      <c r="B191" s="355">
        <f t="shared" si="28"/>
        <v>12</v>
      </c>
      <c r="C191" s="28" t="str">
        <f t="shared" si="27"/>
        <v>.bit 12</v>
      </c>
      <c r="D191" s="13"/>
      <c r="E191" s="123" t="s">
        <v>760</v>
      </c>
      <c r="F191" s="279"/>
      <c r="G191" s="499"/>
      <c r="H191" s="518"/>
      <c r="I191" s="489"/>
      <c r="J191" s="259"/>
      <c r="K191" s="259"/>
      <c r="L191" s="294"/>
      <c r="M191" s="478"/>
      <c r="N191" s="478"/>
      <c r="O191" s="10"/>
      <c r="P191" s="478"/>
      <c r="Q191" s="478"/>
      <c r="R191" s="478"/>
      <c r="S191" s="14"/>
      <c r="T191" s="20"/>
      <c r="U191" s="21"/>
      <c r="V191" s="21"/>
      <c r="W191" s="21"/>
      <c r="X191" s="21"/>
    </row>
    <row r="192" spans="1:24" x14ac:dyDescent="0.45">
      <c r="A192" s="637"/>
      <c r="B192" s="355">
        <f t="shared" si="28"/>
        <v>13</v>
      </c>
      <c r="C192" s="28" t="str">
        <f t="shared" si="27"/>
        <v>.bit 13</v>
      </c>
      <c r="D192" s="13"/>
      <c r="E192" s="123" t="s">
        <v>761</v>
      </c>
      <c r="F192" s="279"/>
      <c r="G192" s="499"/>
      <c r="H192" s="518"/>
      <c r="I192" s="489"/>
      <c r="J192" s="259"/>
      <c r="K192" s="259"/>
      <c r="L192" s="294"/>
      <c r="M192" s="478"/>
      <c r="N192" s="478"/>
      <c r="O192" s="10"/>
      <c r="P192" s="478"/>
      <c r="Q192" s="478"/>
      <c r="R192" s="478"/>
      <c r="S192" s="14"/>
      <c r="T192" s="20"/>
      <c r="U192" s="21"/>
      <c r="V192" s="21"/>
      <c r="W192" s="21"/>
      <c r="X192" s="21"/>
    </row>
    <row r="193" spans="1:24" x14ac:dyDescent="0.45">
      <c r="A193" s="637"/>
      <c r="B193" s="355">
        <f t="shared" si="28"/>
        <v>14</v>
      </c>
      <c r="C193" s="28" t="str">
        <f t="shared" si="27"/>
        <v>.bit 14</v>
      </c>
      <c r="D193" s="13"/>
      <c r="E193" s="123" t="s">
        <v>762</v>
      </c>
      <c r="F193" s="275"/>
      <c r="G193" s="470"/>
      <c r="H193" s="415"/>
      <c r="I193" s="585"/>
      <c r="J193" s="260"/>
      <c r="K193" s="260"/>
      <c r="L193" s="308"/>
      <c r="M193" s="471"/>
      <c r="N193" s="471"/>
      <c r="O193" s="482"/>
      <c r="P193" s="471"/>
      <c r="Q193" s="471"/>
      <c r="R193" s="471"/>
      <c r="S193" s="20"/>
      <c r="T193" s="20"/>
      <c r="U193" s="21"/>
      <c r="V193" s="21"/>
      <c r="W193" s="21"/>
      <c r="X193" s="21"/>
    </row>
    <row r="194" spans="1:24" x14ac:dyDescent="0.45">
      <c r="A194" s="638"/>
      <c r="B194" s="45">
        <f t="shared" si="28"/>
        <v>15</v>
      </c>
      <c r="C194" s="46" t="str">
        <f t="shared" si="27"/>
        <v>.bit 15</v>
      </c>
      <c r="D194" s="49"/>
      <c r="E194" s="123" t="s">
        <v>763</v>
      </c>
      <c r="F194" s="151"/>
      <c r="G194" s="503"/>
      <c r="H194" s="521"/>
      <c r="I194" s="586"/>
      <c r="J194" s="210"/>
      <c r="K194" s="210"/>
      <c r="L194" s="309"/>
      <c r="M194" s="471"/>
      <c r="N194" s="471"/>
      <c r="O194" s="482"/>
      <c r="P194" s="471"/>
      <c r="Q194" s="471"/>
      <c r="R194" s="471"/>
      <c r="S194" s="20"/>
      <c r="T194" s="20"/>
      <c r="U194" s="21"/>
      <c r="V194" s="21"/>
      <c r="W194" s="21"/>
      <c r="X194" s="21"/>
    </row>
    <row r="195" spans="1:24" x14ac:dyDescent="0.45">
      <c r="A195" s="74"/>
      <c r="B195" s="27"/>
      <c r="C195" s="28"/>
      <c r="D195" s="13"/>
      <c r="E195" s="25"/>
      <c r="F195" s="469"/>
      <c r="G195" s="470"/>
      <c r="H195" s="281"/>
      <c r="I195" s="587"/>
      <c r="J195" s="471"/>
      <c r="K195" s="471"/>
      <c r="L195" s="472"/>
      <c r="M195" s="20"/>
      <c r="N195" s="11"/>
    </row>
    <row r="196" spans="1:24" x14ac:dyDescent="0.45">
      <c r="B196" s="119"/>
      <c r="C196" s="119"/>
      <c r="D196" s="119"/>
      <c r="E196" s="119"/>
      <c r="F196" s="119"/>
      <c r="G196" s="504"/>
      <c r="H196" s="276"/>
      <c r="I196" s="123"/>
      <c r="J196" s="120"/>
      <c r="K196" s="120"/>
      <c r="L196" s="311"/>
      <c r="M196" s="21"/>
    </row>
    <row r="197" spans="1:24" x14ac:dyDescent="0.45">
      <c r="A197" s="636" t="s">
        <v>132</v>
      </c>
      <c r="B197" s="127" t="s">
        <v>128</v>
      </c>
      <c r="C197" s="121" t="str">
        <f>CONCATENATE("0x", DEC2HEX(HEX2DEC('inicio zonas'!$C$8)))</f>
        <v>0x30</v>
      </c>
      <c r="D197" s="127"/>
      <c r="E197" s="127"/>
      <c r="F197" s="459"/>
      <c r="G197" s="501"/>
      <c r="H197" s="408"/>
      <c r="I197" s="572"/>
      <c r="J197" s="216"/>
      <c r="K197" s="216"/>
      <c r="L197" s="312"/>
      <c r="M197" s="21"/>
    </row>
    <row r="198" spans="1:24" x14ac:dyDescent="0.45">
      <c r="A198" s="637"/>
      <c r="B198" s="27">
        <v>0</v>
      </c>
      <c r="C198" s="28" t="str">
        <f t="shared" ref="C198:C213" si="29">CONCATENATE(".bit ", B198)</f>
        <v>.bit 0</v>
      </c>
      <c r="D198" s="128" t="s">
        <v>129</v>
      </c>
      <c r="E198" s="123" t="str">
        <f t="shared" ref="E198:E207" si="30">CONCATENATE($C$197,DEC2HEX(B198))</f>
        <v>0x300</v>
      </c>
      <c r="F198" s="460" t="s">
        <v>262</v>
      </c>
      <c r="G198" s="495" t="s">
        <v>923</v>
      </c>
      <c r="H198" s="254" t="s">
        <v>924</v>
      </c>
      <c r="I198" s="251"/>
      <c r="J198" s="298" t="s">
        <v>922</v>
      </c>
      <c r="K198" s="298" t="s">
        <v>605</v>
      </c>
      <c r="L198" s="313">
        <v>0</v>
      </c>
      <c r="M198" s="21"/>
    </row>
    <row r="199" spans="1:24" x14ac:dyDescent="0.45">
      <c r="A199" s="637"/>
      <c r="B199" s="27">
        <f t="shared" ref="B199:B213" si="31">B198+1</f>
        <v>1</v>
      </c>
      <c r="C199" s="28" t="str">
        <f t="shared" si="29"/>
        <v>.bit 1</v>
      </c>
      <c r="D199" s="128" t="s">
        <v>315</v>
      </c>
      <c r="E199" s="123" t="str">
        <f t="shared" si="30"/>
        <v>0x301</v>
      </c>
      <c r="F199" s="461" t="s">
        <v>263</v>
      </c>
      <c r="G199" s="495" t="s">
        <v>923</v>
      </c>
      <c r="H199" s="289" t="s">
        <v>923</v>
      </c>
      <c r="I199" s="565"/>
      <c r="J199" s="298" t="s">
        <v>922</v>
      </c>
      <c r="K199" s="298" t="s">
        <v>605</v>
      </c>
      <c r="L199" s="313">
        <v>0</v>
      </c>
      <c r="M199" s="21"/>
    </row>
    <row r="200" spans="1:24" x14ac:dyDescent="0.45">
      <c r="A200" s="637"/>
      <c r="B200" s="27">
        <f t="shared" si="31"/>
        <v>2</v>
      </c>
      <c r="C200" s="28" t="str">
        <f t="shared" si="29"/>
        <v>.bit 2</v>
      </c>
      <c r="D200" s="128"/>
      <c r="E200" s="123" t="str">
        <f t="shared" si="30"/>
        <v>0x302</v>
      </c>
      <c r="F200" s="461"/>
      <c r="G200" s="505"/>
      <c r="H200" s="522"/>
      <c r="I200" s="588"/>
      <c r="J200" s="304"/>
      <c r="K200" s="304"/>
      <c r="L200" s="305"/>
      <c r="M200" s="81"/>
    </row>
    <row r="201" spans="1:24" x14ac:dyDescent="0.45">
      <c r="A201" s="637"/>
      <c r="B201" s="27">
        <f t="shared" si="31"/>
        <v>3</v>
      </c>
      <c r="C201" s="28" t="str">
        <f t="shared" si="29"/>
        <v>.bit 3</v>
      </c>
      <c r="D201" s="119" t="s">
        <v>130</v>
      </c>
      <c r="E201" s="123" t="str">
        <f t="shared" si="30"/>
        <v>0x303</v>
      </c>
      <c r="F201" s="460" t="s">
        <v>264</v>
      </c>
      <c r="G201" s="495" t="s">
        <v>923</v>
      </c>
      <c r="H201" s="289" t="s">
        <v>923</v>
      </c>
      <c r="I201" s="565"/>
      <c r="J201" s="298" t="s">
        <v>922</v>
      </c>
      <c r="K201" s="298" t="s">
        <v>605</v>
      </c>
      <c r="L201" s="303">
        <v>1</v>
      </c>
      <c r="M201" s="81"/>
    </row>
    <row r="202" spans="1:24" x14ac:dyDescent="0.45">
      <c r="A202" s="637"/>
      <c r="B202" s="27">
        <f t="shared" si="31"/>
        <v>4</v>
      </c>
      <c r="C202" s="28" t="str">
        <f t="shared" si="29"/>
        <v>.bit 4</v>
      </c>
      <c r="D202" s="119"/>
      <c r="E202" s="123" t="str">
        <f t="shared" si="30"/>
        <v>0x304</v>
      </c>
      <c r="F202" s="460"/>
      <c r="G202" s="495"/>
      <c r="H202" s="289"/>
      <c r="I202" s="565"/>
      <c r="J202" s="298"/>
      <c r="K202" s="298"/>
      <c r="L202" s="303"/>
      <c r="M202" s="81"/>
    </row>
    <row r="203" spans="1:24" x14ac:dyDescent="0.45">
      <c r="A203" s="637"/>
      <c r="B203" s="27">
        <f t="shared" si="31"/>
        <v>5</v>
      </c>
      <c r="C203" s="28" t="str">
        <f t="shared" si="29"/>
        <v>.bit 5</v>
      </c>
      <c r="D203" s="119"/>
      <c r="E203" s="123" t="str">
        <f t="shared" si="30"/>
        <v>0x305</v>
      </c>
      <c r="F203" s="461"/>
      <c r="G203" s="506"/>
      <c r="H203" s="523"/>
      <c r="I203" s="581"/>
      <c r="J203" s="310"/>
      <c r="K203" s="310"/>
      <c r="L203" s="303"/>
      <c r="M203" s="21"/>
    </row>
    <row r="204" spans="1:24" x14ac:dyDescent="0.45">
      <c r="A204" s="637"/>
      <c r="B204" s="27">
        <f t="shared" si="31"/>
        <v>6</v>
      </c>
      <c r="C204" s="28" t="str">
        <f t="shared" si="29"/>
        <v>.bit 6</v>
      </c>
      <c r="D204" s="119"/>
      <c r="E204" s="123" t="str">
        <f t="shared" si="30"/>
        <v>0x306</v>
      </c>
      <c r="F204" s="461"/>
      <c r="G204" s="506"/>
      <c r="H204" s="523"/>
      <c r="I204" s="581"/>
      <c r="J204" s="310"/>
      <c r="K204" s="310"/>
      <c r="L204" s="303"/>
      <c r="M204" s="21"/>
    </row>
    <row r="205" spans="1:24" x14ac:dyDescent="0.45">
      <c r="A205" s="637"/>
      <c r="B205" s="27">
        <f t="shared" si="31"/>
        <v>7</v>
      </c>
      <c r="C205" s="28" t="str">
        <f t="shared" si="29"/>
        <v>.bit 7</v>
      </c>
      <c r="D205" s="119"/>
      <c r="E205" s="123" t="str">
        <f t="shared" si="30"/>
        <v>0x307</v>
      </c>
      <c r="F205" s="461"/>
      <c r="G205" s="506"/>
      <c r="H205" s="523"/>
      <c r="I205" s="581"/>
      <c r="J205" s="310"/>
      <c r="K205" s="310"/>
      <c r="L205" s="303"/>
      <c r="M205" s="21"/>
    </row>
    <row r="206" spans="1:24" x14ac:dyDescent="0.45">
      <c r="A206" s="637"/>
      <c r="B206" s="27">
        <f t="shared" si="31"/>
        <v>8</v>
      </c>
      <c r="C206" s="28" t="str">
        <f t="shared" si="29"/>
        <v>.bit 8</v>
      </c>
      <c r="D206" s="119"/>
      <c r="E206" s="123" t="str">
        <f t="shared" si="30"/>
        <v>0x308</v>
      </c>
      <c r="F206" s="460"/>
      <c r="G206" s="506"/>
      <c r="H206" s="523"/>
      <c r="I206" s="581"/>
      <c r="J206" s="310"/>
      <c r="K206" s="310"/>
      <c r="L206" s="303"/>
      <c r="M206" s="21"/>
    </row>
    <row r="207" spans="1:24" x14ac:dyDescent="0.45">
      <c r="A207" s="637"/>
      <c r="B207" s="27">
        <f t="shared" si="31"/>
        <v>9</v>
      </c>
      <c r="C207" s="28" t="str">
        <f t="shared" si="29"/>
        <v>.bit 9</v>
      </c>
      <c r="D207" s="119"/>
      <c r="E207" s="123" t="str">
        <f t="shared" si="30"/>
        <v>0x309</v>
      </c>
      <c r="F207" s="461"/>
      <c r="G207" s="506"/>
      <c r="H207" s="523"/>
      <c r="I207" s="581"/>
      <c r="J207" s="310"/>
      <c r="K207" s="310"/>
      <c r="L207" s="303"/>
      <c r="M207" s="21"/>
    </row>
    <row r="208" spans="1:24" x14ac:dyDescent="0.45">
      <c r="A208" s="637"/>
      <c r="B208" s="27">
        <f t="shared" si="31"/>
        <v>10</v>
      </c>
      <c r="C208" s="28" t="str">
        <f t="shared" si="29"/>
        <v>.bit 10</v>
      </c>
      <c r="D208" s="13"/>
      <c r="E208" s="123"/>
      <c r="F208" s="461"/>
      <c r="G208" s="499"/>
      <c r="H208" s="518"/>
      <c r="I208" s="489"/>
      <c r="J208" s="289"/>
      <c r="K208" s="289"/>
      <c r="L208" s="316"/>
      <c r="M208" s="21"/>
    </row>
    <row r="209" spans="1:19" x14ac:dyDescent="0.45">
      <c r="A209" s="637"/>
      <c r="B209" s="27">
        <f t="shared" si="31"/>
        <v>11</v>
      </c>
      <c r="C209" s="28" t="str">
        <f t="shared" si="29"/>
        <v>.bit 11</v>
      </c>
      <c r="D209" s="13"/>
      <c r="E209" s="123"/>
      <c r="F209" s="461"/>
      <c r="G209" s="499"/>
      <c r="H209" s="518"/>
      <c r="I209" s="489"/>
      <c r="J209" s="289"/>
      <c r="K209" s="289"/>
      <c r="L209" s="316"/>
      <c r="M209" s="21"/>
    </row>
    <row r="210" spans="1:19" x14ac:dyDescent="0.45">
      <c r="A210" s="637"/>
      <c r="B210" s="27">
        <f t="shared" si="31"/>
        <v>12</v>
      </c>
      <c r="C210" s="28" t="str">
        <f t="shared" si="29"/>
        <v>.bit 12</v>
      </c>
      <c r="D210" s="13"/>
      <c r="E210" s="123"/>
      <c r="F210" s="461"/>
      <c r="G210" s="499"/>
      <c r="H210" s="518"/>
      <c r="I210" s="489"/>
      <c r="J210" s="289"/>
      <c r="K210" s="289"/>
      <c r="L210" s="316"/>
      <c r="M210" s="21"/>
    </row>
    <row r="211" spans="1:19" x14ac:dyDescent="0.45">
      <c r="A211" s="637"/>
      <c r="B211" s="27">
        <f t="shared" si="31"/>
        <v>13</v>
      </c>
      <c r="C211" s="28" t="str">
        <f t="shared" si="29"/>
        <v>.bit 13</v>
      </c>
      <c r="D211" s="119"/>
      <c r="E211" s="123"/>
      <c r="F211" s="461"/>
      <c r="G211" s="499"/>
      <c r="H211" s="518"/>
      <c r="I211" s="489"/>
      <c r="J211" s="310"/>
      <c r="K211" s="310"/>
      <c r="L211" s="303"/>
      <c r="M211" s="21"/>
    </row>
    <row r="212" spans="1:19" x14ac:dyDescent="0.45">
      <c r="A212" s="637"/>
      <c r="B212" s="27">
        <f t="shared" si="31"/>
        <v>14</v>
      </c>
      <c r="C212" s="28" t="str">
        <f t="shared" si="29"/>
        <v>.bit 14</v>
      </c>
      <c r="D212" s="119"/>
      <c r="E212" s="123"/>
      <c r="F212" s="461"/>
      <c r="G212" s="506"/>
      <c r="H212" s="523"/>
      <c r="I212" s="581"/>
      <c r="J212" s="310"/>
      <c r="K212" s="310"/>
      <c r="L212" s="303"/>
      <c r="M212" s="21"/>
    </row>
    <row r="213" spans="1:19" x14ac:dyDescent="0.45">
      <c r="A213" s="638"/>
      <c r="B213" s="69">
        <f t="shared" si="31"/>
        <v>15</v>
      </c>
      <c r="C213" s="46" t="str">
        <f t="shared" si="29"/>
        <v>.bit 15</v>
      </c>
      <c r="D213" s="131"/>
      <c r="E213" s="125"/>
      <c r="F213" s="462"/>
      <c r="G213" s="529"/>
      <c r="H213" s="530"/>
      <c r="I213" s="582"/>
      <c r="J213" s="531"/>
      <c r="K213" s="531"/>
      <c r="L213" s="532"/>
      <c r="M213" s="81"/>
    </row>
    <row r="214" spans="1:19" x14ac:dyDescent="0.45">
      <c r="B214" s="119"/>
      <c r="C214" s="119"/>
      <c r="D214" s="119"/>
      <c r="E214" s="119"/>
      <c r="F214" s="119"/>
      <c r="G214" s="504"/>
      <c r="H214" s="276"/>
      <c r="I214" s="123"/>
      <c r="J214" s="120"/>
      <c r="K214" s="120"/>
      <c r="L214" s="292"/>
      <c r="M214" s="21"/>
    </row>
    <row r="215" spans="1:19" x14ac:dyDescent="0.45">
      <c r="B215" s="119"/>
      <c r="C215" s="119"/>
      <c r="D215" s="119"/>
      <c r="E215" s="119"/>
      <c r="F215" s="119"/>
      <c r="G215" s="504"/>
      <c r="H215" s="276"/>
      <c r="I215" s="123"/>
      <c r="J215" s="120"/>
      <c r="K215" s="120"/>
      <c r="L215" s="292"/>
      <c r="M215" s="21"/>
    </row>
    <row r="216" spans="1:19" ht="15" customHeight="1" x14ac:dyDescent="0.45">
      <c r="A216" s="704" t="s">
        <v>133</v>
      </c>
      <c r="B216" s="416" t="s">
        <v>59</v>
      </c>
      <c r="C216" s="405" t="str">
        <f>CONCATENATE("0x", DEC2HEX(HEX2DEC('inicio zonas'!$C$9)))</f>
        <v>0x40</v>
      </c>
      <c r="D216" s="468"/>
      <c r="E216" s="467"/>
      <c r="F216" s="466"/>
      <c r="G216" s="507"/>
      <c r="H216" s="412"/>
      <c r="I216" s="589"/>
      <c r="J216" s="413"/>
      <c r="K216" s="413"/>
      <c r="L216" s="315"/>
      <c r="M216" s="20"/>
    </row>
    <row r="217" spans="1:19" x14ac:dyDescent="0.45">
      <c r="A217" s="659"/>
      <c r="B217" s="355">
        <v>0</v>
      </c>
      <c r="C217" s="28" t="str">
        <f t="shared" ref="C217:C232" si="32">CONCATENATE(".bit ", B217)</f>
        <v>.bit 0</v>
      </c>
      <c r="D217" s="13"/>
      <c r="E217" s="123" t="str">
        <f t="shared" ref="E217:E232" si="33">CONCATENATE($C$216,DEC2HEX(B217))</f>
        <v>0x400</v>
      </c>
      <c r="F217" s="278"/>
      <c r="G217" s="508"/>
      <c r="H217" s="414"/>
      <c r="I217" s="565"/>
      <c r="J217" s="310"/>
      <c r="K217" s="310"/>
      <c r="L217" s="316"/>
      <c r="M217" s="13"/>
    </row>
    <row r="218" spans="1:19" x14ac:dyDescent="0.45">
      <c r="A218" s="659"/>
      <c r="B218" s="355">
        <f t="shared" ref="B218:B232" si="34">B217+1</f>
        <v>1</v>
      </c>
      <c r="C218" s="28" t="str">
        <f t="shared" si="32"/>
        <v>.bit 1</v>
      </c>
      <c r="D218" s="15"/>
      <c r="E218" s="123" t="str">
        <f t="shared" si="33"/>
        <v>0x401</v>
      </c>
      <c r="F218" s="278"/>
      <c r="G218" s="508"/>
      <c r="H218" s="414"/>
      <c r="I218" s="565"/>
      <c r="J218" s="289"/>
      <c r="K218" s="289"/>
      <c r="L218" s="316"/>
      <c r="M218" s="13"/>
    </row>
    <row r="219" spans="1:19" x14ac:dyDescent="0.45">
      <c r="A219" s="659"/>
      <c r="B219" s="355">
        <f t="shared" si="34"/>
        <v>2</v>
      </c>
      <c r="C219" s="28" t="str">
        <f t="shared" si="32"/>
        <v>.bit 2</v>
      </c>
      <c r="D219" s="15" t="s">
        <v>60</v>
      </c>
      <c r="E219" s="123" t="str">
        <f t="shared" si="33"/>
        <v>0x402</v>
      </c>
      <c r="F219" s="278" t="s">
        <v>61</v>
      </c>
      <c r="G219" s="495" t="s">
        <v>923</v>
      </c>
      <c r="H219" s="254" t="s">
        <v>924</v>
      </c>
      <c r="I219" s="258"/>
      <c r="J219" s="298" t="s">
        <v>922</v>
      </c>
      <c r="K219" s="298" t="s">
        <v>605</v>
      </c>
      <c r="L219" s="317">
        <v>0</v>
      </c>
      <c r="M219" s="13"/>
      <c r="N219" t="s">
        <v>566</v>
      </c>
      <c r="O219" t="s">
        <v>567</v>
      </c>
      <c r="P219" t="s">
        <v>568</v>
      </c>
    </row>
    <row r="220" spans="1:19" x14ac:dyDescent="0.45">
      <c r="A220" s="659"/>
      <c r="B220" s="355">
        <f t="shared" si="34"/>
        <v>3</v>
      </c>
      <c r="C220" s="28" t="str">
        <f t="shared" si="32"/>
        <v>.bit 3</v>
      </c>
      <c r="D220" s="15" t="s">
        <v>62</v>
      </c>
      <c r="E220" s="123" t="str">
        <f t="shared" si="33"/>
        <v>0x403</v>
      </c>
      <c r="F220" s="278" t="s">
        <v>285</v>
      </c>
      <c r="G220" s="495" t="s">
        <v>923</v>
      </c>
      <c r="H220" s="254" t="s">
        <v>924</v>
      </c>
      <c r="I220" s="258"/>
      <c r="J220" s="298" t="s">
        <v>922</v>
      </c>
      <c r="K220" s="298" t="s">
        <v>605</v>
      </c>
      <c r="L220" s="317">
        <v>0</v>
      </c>
      <c r="M220" s="13"/>
      <c r="N220" s="90" t="s">
        <v>286</v>
      </c>
      <c r="O220" s="90" t="s">
        <v>287</v>
      </c>
      <c r="P220" s="90" t="s">
        <v>565</v>
      </c>
      <c r="Q220" s="90" t="s">
        <v>790</v>
      </c>
      <c r="R220" s="90" t="s">
        <v>791</v>
      </c>
      <c r="S220" s="91" t="s">
        <v>291</v>
      </c>
    </row>
    <row r="221" spans="1:19" x14ac:dyDescent="0.45">
      <c r="A221" s="659"/>
      <c r="B221" s="355">
        <f t="shared" si="34"/>
        <v>4</v>
      </c>
      <c r="C221" s="28" t="str">
        <f t="shared" si="32"/>
        <v>.bit 4</v>
      </c>
      <c r="D221" s="15" t="s">
        <v>195</v>
      </c>
      <c r="E221" s="123" t="str">
        <f t="shared" si="33"/>
        <v>0x404</v>
      </c>
      <c r="F221" s="278" t="s">
        <v>197</v>
      </c>
      <c r="G221" s="495" t="s">
        <v>923</v>
      </c>
      <c r="H221" s="254" t="s">
        <v>924</v>
      </c>
      <c r="I221" s="258"/>
      <c r="J221" s="298" t="s">
        <v>922</v>
      </c>
      <c r="K221" s="298" t="s">
        <v>605</v>
      </c>
      <c r="L221" s="317">
        <v>0</v>
      </c>
      <c r="M221" s="13"/>
      <c r="N221" s="464">
        <v>0</v>
      </c>
      <c r="O221" s="464">
        <v>0</v>
      </c>
      <c r="P221" s="464">
        <v>0</v>
      </c>
      <c r="Q221" s="464" t="s">
        <v>73</v>
      </c>
      <c r="R221" s="464" t="s">
        <v>73</v>
      </c>
      <c r="S221" s="95" t="s">
        <v>288</v>
      </c>
    </row>
    <row r="222" spans="1:19" x14ac:dyDescent="0.45">
      <c r="A222" s="659"/>
      <c r="B222" s="355">
        <f t="shared" si="34"/>
        <v>5</v>
      </c>
      <c r="C222" s="28" t="str">
        <f t="shared" si="32"/>
        <v>.bit 5</v>
      </c>
      <c r="D222" s="15" t="s">
        <v>196</v>
      </c>
      <c r="E222" s="123" t="str">
        <f t="shared" si="33"/>
        <v>0x405</v>
      </c>
      <c r="F222" s="278" t="s">
        <v>198</v>
      </c>
      <c r="G222" s="495" t="s">
        <v>923</v>
      </c>
      <c r="H222" s="254" t="s">
        <v>924</v>
      </c>
      <c r="I222" s="258"/>
      <c r="J222" s="298" t="s">
        <v>922</v>
      </c>
      <c r="K222" s="298" t="s">
        <v>605</v>
      </c>
      <c r="L222" s="317">
        <v>1</v>
      </c>
      <c r="M222" s="13"/>
      <c r="N222" s="464">
        <v>0</v>
      </c>
      <c r="O222" s="464">
        <v>1</v>
      </c>
      <c r="P222" s="464">
        <v>0</v>
      </c>
      <c r="Q222" s="464" t="s">
        <v>73</v>
      </c>
      <c r="R222" s="464" t="s">
        <v>73</v>
      </c>
      <c r="S222" s="95" t="s">
        <v>289</v>
      </c>
    </row>
    <row r="223" spans="1:19" x14ac:dyDescent="0.45">
      <c r="A223" s="659"/>
      <c r="B223" s="355">
        <f t="shared" si="34"/>
        <v>6</v>
      </c>
      <c r="C223" s="28" t="str">
        <f t="shared" si="32"/>
        <v>.bit 6</v>
      </c>
      <c r="D223" s="15" t="s">
        <v>559</v>
      </c>
      <c r="E223" s="123" t="str">
        <f t="shared" si="33"/>
        <v>0x406</v>
      </c>
      <c r="F223" s="278" t="s">
        <v>560</v>
      </c>
      <c r="G223" s="495" t="s">
        <v>923</v>
      </c>
      <c r="H223" s="254" t="s">
        <v>924</v>
      </c>
      <c r="I223" s="258"/>
      <c r="J223" s="298" t="s">
        <v>922</v>
      </c>
      <c r="K223" s="298" t="s">
        <v>605</v>
      </c>
      <c r="L223" s="317">
        <v>1</v>
      </c>
      <c r="M223" s="13"/>
      <c r="N223" s="464">
        <v>0</v>
      </c>
      <c r="O223" s="464" t="s">
        <v>73</v>
      </c>
      <c r="P223" s="464">
        <v>1</v>
      </c>
      <c r="Q223" s="464" t="s">
        <v>73</v>
      </c>
      <c r="R223" s="464" t="s">
        <v>73</v>
      </c>
      <c r="S223" s="95" t="s">
        <v>290</v>
      </c>
    </row>
    <row r="224" spans="1:19" x14ac:dyDescent="0.45">
      <c r="A224" s="659"/>
      <c r="B224" s="355">
        <f t="shared" si="34"/>
        <v>7</v>
      </c>
      <c r="C224" s="28" t="str">
        <f t="shared" si="32"/>
        <v>.bit 7</v>
      </c>
      <c r="D224" s="15" t="s">
        <v>569</v>
      </c>
      <c r="E224" s="123" t="str">
        <f t="shared" si="33"/>
        <v>0x407</v>
      </c>
      <c r="F224" s="278" t="s">
        <v>199</v>
      </c>
      <c r="G224" s="495" t="s">
        <v>923</v>
      </c>
      <c r="H224" s="254" t="s">
        <v>924</v>
      </c>
      <c r="I224" s="258"/>
      <c r="J224" s="298" t="s">
        <v>922</v>
      </c>
      <c r="K224" s="298" t="s">
        <v>605</v>
      </c>
      <c r="L224" s="317">
        <v>0</v>
      </c>
      <c r="M224" s="235"/>
      <c r="N224" s="94">
        <v>1</v>
      </c>
      <c r="O224" s="464" t="s">
        <v>73</v>
      </c>
      <c r="P224" s="464" t="s">
        <v>73</v>
      </c>
      <c r="Q224" s="464" t="s">
        <v>73</v>
      </c>
      <c r="R224" s="464" t="s">
        <v>73</v>
      </c>
      <c r="S224" s="96" t="s">
        <v>302</v>
      </c>
    </row>
    <row r="225" spans="1:19" x14ac:dyDescent="0.45">
      <c r="A225" s="659"/>
      <c r="B225" s="355">
        <f t="shared" si="34"/>
        <v>8</v>
      </c>
      <c r="C225" s="28" t="str">
        <f t="shared" si="32"/>
        <v>.bit 8</v>
      </c>
      <c r="D225" s="15" t="s">
        <v>63</v>
      </c>
      <c r="E225" s="123" t="str">
        <f t="shared" si="33"/>
        <v>0x408</v>
      </c>
      <c r="F225" s="278" t="s">
        <v>266</v>
      </c>
      <c r="G225" s="495" t="s">
        <v>923</v>
      </c>
      <c r="H225" s="254" t="s">
        <v>924</v>
      </c>
      <c r="I225" s="258"/>
      <c r="J225" s="298" t="s">
        <v>921</v>
      </c>
      <c r="K225" s="298" t="s">
        <v>605</v>
      </c>
      <c r="L225" s="317">
        <v>0</v>
      </c>
      <c r="M225" s="13"/>
    </row>
    <row r="226" spans="1:19" x14ac:dyDescent="0.45">
      <c r="A226" s="659"/>
      <c r="B226" s="355">
        <f t="shared" si="34"/>
        <v>9</v>
      </c>
      <c r="C226" s="28" t="str">
        <f t="shared" si="32"/>
        <v>.bit 9</v>
      </c>
      <c r="D226" s="15" t="s">
        <v>64</v>
      </c>
      <c r="E226" s="123" t="str">
        <f t="shared" si="33"/>
        <v>0x409</v>
      </c>
      <c r="F226" s="278" t="s">
        <v>266</v>
      </c>
      <c r="G226" s="495" t="s">
        <v>923</v>
      </c>
      <c r="H226" s="254" t="s">
        <v>924</v>
      </c>
      <c r="I226" s="258"/>
      <c r="J226" s="298" t="s">
        <v>922</v>
      </c>
      <c r="K226" s="298" t="s">
        <v>605</v>
      </c>
      <c r="L226" s="317">
        <v>0</v>
      </c>
      <c r="M226" s="13"/>
    </row>
    <row r="227" spans="1:19" x14ac:dyDescent="0.45">
      <c r="A227" s="659"/>
      <c r="B227" s="355">
        <f t="shared" si="34"/>
        <v>10</v>
      </c>
      <c r="C227" s="28" t="str">
        <f t="shared" si="32"/>
        <v>.bit 10</v>
      </c>
      <c r="D227" s="15" t="s">
        <v>65</v>
      </c>
      <c r="E227" s="123" t="str">
        <f t="shared" si="33"/>
        <v>0x40A</v>
      </c>
      <c r="F227" s="278" t="s">
        <v>266</v>
      </c>
      <c r="G227" s="495" t="s">
        <v>923</v>
      </c>
      <c r="H227" s="254" t="s">
        <v>924</v>
      </c>
      <c r="I227" s="258"/>
      <c r="J227" s="298" t="s">
        <v>922</v>
      </c>
      <c r="K227" s="298" t="s">
        <v>605</v>
      </c>
      <c r="L227" s="317">
        <v>0</v>
      </c>
      <c r="M227" s="13"/>
      <c r="N227" t="s">
        <v>566</v>
      </c>
      <c r="O227" t="s">
        <v>567</v>
      </c>
      <c r="P227" t="s">
        <v>568</v>
      </c>
      <c r="Q227" s="381" t="s">
        <v>792</v>
      </c>
      <c r="R227" t="s">
        <v>793</v>
      </c>
    </row>
    <row r="228" spans="1:19" x14ac:dyDescent="0.45">
      <c r="A228" s="659"/>
      <c r="B228" s="355">
        <f t="shared" si="34"/>
        <v>11</v>
      </c>
      <c r="C228" s="28" t="str">
        <f t="shared" si="32"/>
        <v>.bit 11</v>
      </c>
      <c r="D228" s="15" t="s">
        <v>787</v>
      </c>
      <c r="E228" s="123" t="str">
        <f t="shared" si="33"/>
        <v>0x40B</v>
      </c>
      <c r="F228" s="282" t="s">
        <v>789</v>
      </c>
      <c r="G228" s="495" t="s">
        <v>923</v>
      </c>
      <c r="H228" s="254" t="s">
        <v>924</v>
      </c>
      <c r="I228" s="258"/>
      <c r="J228" s="298" t="s">
        <v>921</v>
      </c>
      <c r="K228" s="298" t="s">
        <v>605</v>
      </c>
      <c r="L228" s="308">
        <v>0</v>
      </c>
      <c r="M228" s="20"/>
      <c r="N228" s="90" t="s">
        <v>286</v>
      </c>
      <c r="O228" s="90" t="s">
        <v>287</v>
      </c>
      <c r="P228" s="90" t="s">
        <v>565</v>
      </c>
      <c r="Q228" s="90" t="s">
        <v>790</v>
      </c>
      <c r="R228" s="90" t="s">
        <v>791</v>
      </c>
      <c r="S228" s="91" t="s">
        <v>291</v>
      </c>
    </row>
    <row r="229" spans="1:19" x14ac:dyDescent="0.45">
      <c r="A229" s="659"/>
      <c r="B229" s="355">
        <f t="shared" si="34"/>
        <v>12</v>
      </c>
      <c r="C229" s="28" t="str">
        <f t="shared" si="32"/>
        <v>.bit 12</v>
      </c>
      <c r="D229" s="15" t="s">
        <v>788</v>
      </c>
      <c r="E229" s="123" t="str">
        <f t="shared" si="33"/>
        <v>0x40C</v>
      </c>
      <c r="F229" s="278" t="s">
        <v>562</v>
      </c>
      <c r="G229" s="495" t="s">
        <v>923</v>
      </c>
      <c r="H229" s="254" t="s">
        <v>924</v>
      </c>
      <c r="I229" s="258"/>
      <c r="J229" s="298" t="s">
        <v>921</v>
      </c>
      <c r="K229" s="298" t="s">
        <v>605</v>
      </c>
      <c r="L229" s="308">
        <v>0</v>
      </c>
      <c r="M229" s="20"/>
      <c r="N229" s="464">
        <v>0</v>
      </c>
      <c r="O229" s="464">
        <v>0</v>
      </c>
      <c r="P229" s="464">
        <v>0</v>
      </c>
      <c r="Q229" s="464" t="s">
        <v>73</v>
      </c>
      <c r="R229" s="464" t="s">
        <v>73</v>
      </c>
      <c r="S229" s="95" t="s">
        <v>288</v>
      </c>
    </row>
    <row r="230" spans="1:19" x14ac:dyDescent="0.45">
      <c r="A230" s="659"/>
      <c r="B230" s="465">
        <f t="shared" si="34"/>
        <v>13</v>
      </c>
      <c r="C230" s="28" t="str">
        <f t="shared" si="32"/>
        <v>.bit 13</v>
      </c>
      <c r="D230" s="15"/>
      <c r="E230" s="123" t="str">
        <f t="shared" si="33"/>
        <v>0x40D</v>
      </c>
      <c r="F230" s="275"/>
      <c r="G230" s="470"/>
      <c r="H230" s="415"/>
      <c r="I230" s="585"/>
      <c r="J230" s="260"/>
      <c r="K230" s="260"/>
      <c r="L230" s="308"/>
      <c r="M230" s="20"/>
      <c r="N230" s="464">
        <v>0</v>
      </c>
      <c r="O230" s="464">
        <v>1</v>
      </c>
      <c r="P230" s="464">
        <v>0</v>
      </c>
      <c r="Q230" s="464" t="s">
        <v>73</v>
      </c>
      <c r="R230" s="464" t="s">
        <v>73</v>
      </c>
      <c r="S230" s="95" t="s">
        <v>289</v>
      </c>
    </row>
    <row r="231" spans="1:19" x14ac:dyDescent="0.45">
      <c r="A231" s="659"/>
      <c r="B231" s="465">
        <f t="shared" si="34"/>
        <v>14</v>
      </c>
      <c r="C231" s="28" t="str">
        <f t="shared" si="32"/>
        <v>.bit 14</v>
      </c>
      <c r="D231" s="15" t="s">
        <v>484</v>
      </c>
      <c r="E231" s="123" t="str">
        <f t="shared" si="33"/>
        <v>0x40E</v>
      </c>
      <c r="F231" s="275"/>
      <c r="G231" s="495" t="s">
        <v>923</v>
      </c>
      <c r="H231" s="254" t="s">
        <v>924</v>
      </c>
      <c r="I231" s="258"/>
      <c r="J231" s="318" t="s">
        <v>921</v>
      </c>
      <c r="K231" s="319" t="s">
        <v>605</v>
      </c>
      <c r="L231" s="320">
        <v>0</v>
      </c>
      <c r="M231" s="20"/>
      <c r="N231" s="464">
        <v>0</v>
      </c>
      <c r="O231" s="464" t="s">
        <v>73</v>
      </c>
      <c r="P231" s="464">
        <v>1</v>
      </c>
      <c r="Q231" s="464" t="s">
        <v>73</v>
      </c>
      <c r="R231" s="464" t="s">
        <v>73</v>
      </c>
      <c r="S231" s="95" t="s">
        <v>290</v>
      </c>
    </row>
    <row r="232" spans="1:19" x14ac:dyDescent="0.45">
      <c r="A232" s="659"/>
      <c r="B232" s="447">
        <f t="shared" si="34"/>
        <v>15</v>
      </c>
      <c r="C232" s="46" t="str">
        <f t="shared" si="32"/>
        <v>.bit 15</v>
      </c>
      <c r="D232" s="80" t="s">
        <v>669</v>
      </c>
      <c r="E232" s="125" t="str">
        <f t="shared" si="33"/>
        <v>0x40F</v>
      </c>
      <c r="F232" s="275" t="s">
        <v>478</v>
      </c>
      <c r="G232" s="495" t="s">
        <v>923</v>
      </c>
      <c r="H232" s="254" t="s">
        <v>924</v>
      </c>
      <c r="I232" s="258"/>
      <c r="J232" s="217" t="s">
        <v>921</v>
      </c>
      <c r="K232" s="215" t="s">
        <v>605</v>
      </c>
      <c r="L232" s="321">
        <v>0</v>
      </c>
      <c r="M232" s="20"/>
      <c r="N232" s="94">
        <v>1</v>
      </c>
      <c r="O232" s="464" t="s">
        <v>73</v>
      </c>
      <c r="P232" s="464" t="s">
        <v>73</v>
      </c>
      <c r="Q232" s="464">
        <v>0</v>
      </c>
      <c r="R232" s="464" t="s">
        <v>73</v>
      </c>
      <c r="S232" s="96" t="s">
        <v>302</v>
      </c>
    </row>
    <row r="233" spans="1:19" x14ac:dyDescent="0.45">
      <c r="A233" s="659"/>
      <c r="B233" s="444" t="s">
        <v>66</v>
      </c>
      <c r="C233" s="129" t="str">
        <f>CONCATENATE("0x", DEC2HEX(1+HEX2DEC('inicio zonas'!$C$9)))</f>
        <v>0x41</v>
      </c>
      <c r="D233" s="71"/>
      <c r="E233" s="109"/>
      <c r="F233" s="76" t="s">
        <v>67</v>
      </c>
      <c r="G233" s="493" t="s">
        <v>923</v>
      </c>
      <c r="H233" s="224" t="s">
        <v>924</v>
      </c>
      <c r="I233" s="181"/>
      <c r="J233" s="136" t="s">
        <v>922</v>
      </c>
      <c r="K233" s="205" t="s">
        <v>605</v>
      </c>
      <c r="L233" s="322">
        <v>0</v>
      </c>
      <c r="M233" s="13"/>
      <c r="N233" s="94">
        <v>1</v>
      </c>
      <c r="O233" s="464" t="s">
        <v>73</v>
      </c>
      <c r="P233" s="464" t="s">
        <v>73</v>
      </c>
      <c r="Q233" s="464">
        <v>1</v>
      </c>
      <c r="R233" s="464">
        <v>0</v>
      </c>
      <c r="S233" s="96" t="s">
        <v>794</v>
      </c>
    </row>
    <row r="234" spans="1:19" x14ac:dyDescent="0.45">
      <c r="A234" s="659"/>
      <c r="B234" s="444" t="s">
        <v>68</v>
      </c>
      <c r="C234" s="129" t="str">
        <f>CONCATENATE("0x", DEC2HEX(2+HEX2DEC('inicio zonas'!$C$9)))</f>
        <v>0x42</v>
      </c>
      <c r="D234" s="71"/>
      <c r="E234" s="109"/>
      <c r="F234" s="76" t="s">
        <v>67</v>
      </c>
      <c r="G234" s="493" t="s">
        <v>923</v>
      </c>
      <c r="H234" s="224" t="s">
        <v>924</v>
      </c>
      <c r="I234" s="181"/>
      <c r="J234" s="136" t="s">
        <v>922</v>
      </c>
      <c r="K234" s="205" t="s">
        <v>605</v>
      </c>
      <c r="L234" s="322">
        <v>10</v>
      </c>
      <c r="M234" s="13"/>
      <c r="N234" s="94">
        <v>1</v>
      </c>
      <c r="O234" s="464" t="s">
        <v>73</v>
      </c>
      <c r="P234" s="464" t="s">
        <v>73</v>
      </c>
      <c r="Q234" s="464">
        <v>1</v>
      </c>
      <c r="R234" s="464">
        <v>1</v>
      </c>
      <c r="S234" s="96" t="s">
        <v>795</v>
      </c>
    </row>
    <row r="235" spans="1:19" x14ac:dyDescent="0.45">
      <c r="A235" s="660"/>
      <c r="B235" s="137" t="s">
        <v>200</v>
      </c>
      <c r="C235" s="129" t="str">
        <f>CONCATENATE("0x", DEC2HEX(3+HEX2DEC('inicio zonas'!$C$9)))</f>
        <v>0x43</v>
      </c>
      <c r="D235" s="138"/>
      <c r="E235" s="138"/>
      <c r="F235" s="137" t="s">
        <v>303</v>
      </c>
      <c r="G235" s="493" t="s">
        <v>923</v>
      </c>
      <c r="H235" s="224" t="s">
        <v>924</v>
      </c>
      <c r="I235" s="181"/>
      <c r="J235" s="136" t="s">
        <v>922</v>
      </c>
      <c r="K235" s="205" t="s">
        <v>605</v>
      </c>
      <c r="L235" s="323">
        <v>0</v>
      </c>
      <c r="M235" s="21"/>
    </row>
    <row r="236" spans="1:19" x14ac:dyDescent="0.45">
      <c r="A236" s="79"/>
      <c r="B236" s="119"/>
      <c r="C236" s="139"/>
      <c r="D236" s="128"/>
      <c r="E236" s="128"/>
      <c r="F236" s="119"/>
      <c r="G236" s="504"/>
      <c r="H236" s="276"/>
      <c r="I236" s="123"/>
      <c r="J236" s="120"/>
      <c r="K236" s="120"/>
      <c r="L236" s="292"/>
      <c r="M236" s="21"/>
    </row>
    <row r="237" spans="1:19" x14ac:dyDescent="0.45">
      <c r="B237" s="119"/>
      <c r="C237" s="119"/>
      <c r="D237" s="119"/>
      <c r="E237" s="119"/>
      <c r="F237" s="119"/>
      <c r="G237" s="504"/>
      <c r="H237" s="276"/>
      <c r="I237" s="123"/>
      <c r="J237" s="120"/>
      <c r="K237" s="120"/>
      <c r="L237" s="292"/>
      <c r="M237" s="21"/>
    </row>
    <row r="238" spans="1:19" x14ac:dyDescent="0.45">
      <c r="A238" s="636" t="s">
        <v>134</v>
      </c>
      <c r="B238" s="43" t="s">
        <v>69</v>
      </c>
      <c r="C238" s="121" t="str">
        <f>CONCATENATE("0x", DEC2HEX(HEX2DEC('inicio zonas'!$C$10)))</f>
        <v>0x50</v>
      </c>
      <c r="D238" s="39"/>
      <c r="E238" s="98"/>
      <c r="F238" s="122"/>
      <c r="G238" s="507"/>
      <c r="H238" s="412"/>
      <c r="I238" s="589"/>
      <c r="J238" s="211"/>
      <c r="K238" s="211"/>
      <c r="L238" s="315"/>
      <c r="M238" s="20"/>
    </row>
    <row r="239" spans="1:19" x14ac:dyDescent="0.45">
      <c r="A239" s="637"/>
      <c r="B239" s="44">
        <v>0</v>
      </c>
      <c r="C239" s="28" t="str">
        <f>CONCATENATE(".bit ", B239)</f>
        <v>.bit 0</v>
      </c>
      <c r="E239" s="229" t="str">
        <f>CONCATENATE($C$238,DEC2HEX(B239))</f>
        <v>0x500</v>
      </c>
      <c r="F239" s="280"/>
      <c r="G239" s="508"/>
      <c r="H239" s="414"/>
      <c r="I239" s="565"/>
      <c r="J239" s="310"/>
      <c r="K239" s="310"/>
      <c r="L239" s="316"/>
      <c r="M239" s="13"/>
      <c r="N239" s="4"/>
      <c r="O239" s="4"/>
      <c r="P239" s="4"/>
      <c r="Q239" s="4"/>
    </row>
    <row r="240" spans="1:19" x14ac:dyDescent="0.45">
      <c r="A240" s="637"/>
      <c r="B240" s="44">
        <f>B239+1</f>
        <v>1</v>
      </c>
      <c r="C240" s="28" t="str">
        <f t="shared" ref="C240:C254" si="35">CONCATENATE(".bit ", B240)</f>
        <v>.bit 1</v>
      </c>
      <c r="D240" s="15"/>
      <c r="E240" s="229" t="str">
        <f t="shared" ref="E240:E254" si="36">CONCATENATE($C$238,DEC2HEX(B240))</f>
        <v>0x501</v>
      </c>
      <c r="F240" s="280"/>
      <c r="G240" s="508"/>
      <c r="H240" s="414"/>
      <c r="I240" s="565"/>
      <c r="J240" s="310"/>
      <c r="K240" s="310"/>
      <c r="L240" s="316"/>
      <c r="M240" s="13"/>
      <c r="N240" s="4"/>
      <c r="O240" s="4"/>
      <c r="P240" s="4"/>
      <c r="Q240" s="4"/>
    </row>
    <row r="241" spans="1:18" x14ac:dyDescent="0.45">
      <c r="A241" s="637"/>
      <c r="B241" s="44">
        <f t="shared" ref="B241:B254" si="37">B240+1</f>
        <v>2</v>
      </c>
      <c r="C241" s="28" t="str">
        <f t="shared" si="35"/>
        <v>.bit 2</v>
      </c>
      <c r="D241" s="15"/>
      <c r="E241" s="229" t="str">
        <f t="shared" si="36"/>
        <v>0x502</v>
      </c>
      <c r="F241" s="280"/>
      <c r="G241" s="495"/>
      <c r="H241" s="289"/>
      <c r="I241" s="565"/>
      <c r="J241" s="318"/>
      <c r="K241" s="318"/>
      <c r="L241" s="308"/>
      <c r="M241" s="13"/>
      <c r="N241" s="4"/>
      <c r="O241" s="4"/>
      <c r="P241" s="4"/>
      <c r="Q241" s="4"/>
    </row>
    <row r="242" spans="1:18" x14ac:dyDescent="0.45">
      <c r="A242" s="637"/>
      <c r="B242" s="44">
        <f t="shared" si="37"/>
        <v>3</v>
      </c>
      <c r="C242" s="28" t="str">
        <f t="shared" si="35"/>
        <v>.bit 3</v>
      </c>
      <c r="D242" s="15"/>
      <c r="E242" s="229" t="str">
        <f t="shared" si="36"/>
        <v>0x503</v>
      </c>
      <c r="F242" s="280"/>
      <c r="G242" s="508"/>
      <c r="H242" s="414"/>
      <c r="I242" s="565"/>
      <c r="J242" s="289"/>
      <c r="K242" s="289"/>
      <c r="L242" s="316"/>
      <c r="M242" s="13"/>
      <c r="N242" s="20"/>
      <c r="O242" s="20"/>
      <c r="P242" s="20"/>
      <c r="Q242" s="20"/>
    </row>
    <row r="243" spans="1:18" x14ac:dyDescent="0.45">
      <c r="A243" s="637"/>
      <c r="B243" s="44">
        <f t="shared" si="37"/>
        <v>4</v>
      </c>
      <c r="C243" s="28" t="str">
        <f t="shared" si="35"/>
        <v>.bit 4</v>
      </c>
      <c r="D243" s="15"/>
      <c r="E243" s="229" t="str">
        <f t="shared" si="36"/>
        <v>0x504</v>
      </c>
      <c r="F243" s="280"/>
      <c r="G243" s="508"/>
      <c r="H243" s="414"/>
      <c r="I243" s="565"/>
      <c r="J243" s="289"/>
      <c r="K243" s="289"/>
      <c r="L243" s="316"/>
      <c r="M243" s="13"/>
      <c r="N243" s="20"/>
      <c r="O243" s="20"/>
      <c r="P243" s="20"/>
      <c r="Q243" s="20"/>
    </row>
    <row r="244" spans="1:18" x14ac:dyDescent="0.45">
      <c r="A244" s="637"/>
      <c r="B244" s="446">
        <f t="shared" si="37"/>
        <v>5</v>
      </c>
      <c r="C244" s="448" t="str">
        <f t="shared" si="35"/>
        <v>.bit 5</v>
      </c>
      <c r="D244" s="15"/>
      <c r="E244" s="229" t="str">
        <f t="shared" si="36"/>
        <v>0x505</v>
      </c>
      <c r="F244" s="281"/>
      <c r="G244" s="470"/>
      <c r="H244" s="415"/>
      <c r="I244" s="585"/>
      <c r="J244" s="260"/>
      <c r="K244" s="260"/>
      <c r="L244" s="308"/>
      <c r="M244" s="20"/>
      <c r="N244" s="11"/>
      <c r="O244" s="11"/>
      <c r="P244" s="11"/>
      <c r="Q244" s="11"/>
    </row>
    <row r="245" spans="1:18" x14ac:dyDescent="0.45">
      <c r="A245" s="637"/>
      <c r="B245" s="446">
        <f t="shared" si="37"/>
        <v>6</v>
      </c>
      <c r="C245" s="448" t="str">
        <f t="shared" si="35"/>
        <v>.bit 6</v>
      </c>
      <c r="D245" s="15"/>
      <c r="E245" s="229" t="str">
        <f t="shared" si="36"/>
        <v>0x506</v>
      </c>
      <c r="F245" s="280"/>
      <c r="G245" s="508"/>
      <c r="H245" s="414"/>
      <c r="I245" s="565"/>
      <c r="J245" s="289"/>
      <c r="K245" s="289"/>
      <c r="L245" s="316"/>
      <c r="M245" s="13"/>
      <c r="N245" s="11"/>
      <c r="O245" s="11"/>
      <c r="P245" s="11"/>
      <c r="Q245" s="11"/>
    </row>
    <row r="246" spans="1:18" x14ac:dyDescent="0.45">
      <c r="A246" s="637"/>
      <c r="B246" s="446">
        <f t="shared" si="37"/>
        <v>7</v>
      </c>
      <c r="C246" s="448" t="str">
        <f t="shared" si="35"/>
        <v>.bit 7</v>
      </c>
      <c r="D246" s="15"/>
      <c r="E246" s="229" t="str">
        <f t="shared" si="36"/>
        <v>0x507</v>
      </c>
      <c r="F246" s="280"/>
      <c r="G246" s="508"/>
      <c r="H246" s="414"/>
      <c r="I246" s="565"/>
      <c r="J246" s="289"/>
      <c r="K246" s="289"/>
      <c r="L246" s="316"/>
      <c r="M246" s="13"/>
      <c r="N246" s="11"/>
      <c r="O246" s="11"/>
      <c r="P246" s="11"/>
      <c r="Q246" s="11"/>
    </row>
    <row r="247" spans="1:18" x14ac:dyDescent="0.45">
      <c r="A247" s="637"/>
      <c r="B247" s="446">
        <f t="shared" si="37"/>
        <v>8</v>
      </c>
      <c r="C247" s="448" t="str">
        <f t="shared" si="35"/>
        <v>.bit 8</v>
      </c>
      <c r="D247" s="15"/>
      <c r="E247" s="229" t="str">
        <f t="shared" si="36"/>
        <v>0x508</v>
      </c>
      <c r="F247" s="280"/>
      <c r="G247" s="508"/>
      <c r="H247" s="414"/>
      <c r="I247" s="565"/>
      <c r="J247" s="289"/>
      <c r="K247" s="289"/>
      <c r="L247" s="316"/>
      <c r="M247" s="13"/>
      <c r="N247" s="11"/>
      <c r="O247" s="11"/>
      <c r="P247" s="11"/>
      <c r="Q247" s="11"/>
      <c r="R247" s="11"/>
    </row>
    <row r="248" spans="1:18" x14ac:dyDescent="0.45">
      <c r="A248" s="637"/>
      <c r="B248" s="446">
        <f t="shared" si="37"/>
        <v>9</v>
      </c>
      <c r="C248" s="448" t="str">
        <f t="shared" si="35"/>
        <v>.bit 9</v>
      </c>
      <c r="D248" s="15"/>
      <c r="E248" s="229" t="str">
        <f t="shared" si="36"/>
        <v>0x509</v>
      </c>
      <c r="F248" s="281"/>
      <c r="G248" s="470"/>
      <c r="H248" s="415"/>
      <c r="I248" s="585"/>
      <c r="J248" s="260"/>
      <c r="K248" s="260"/>
      <c r="L248" s="308"/>
      <c r="M248" s="20"/>
      <c r="N248" s="11"/>
      <c r="O248" s="11"/>
      <c r="P248" s="11"/>
      <c r="Q248" s="11"/>
      <c r="R248" s="11"/>
    </row>
    <row r="249" spans="1:18" x14ac:dyDescent="0.45">
      <c r="A249" s="637"/>
      <c r="B249" s="446">
        <f t="shared" si="37"/>
        <v>10</v>
      </c>
      <c r="C249" s="448" t="str">
        <f t="shared" si="35"/>
        <v>.bit 10</v>
      </c>
      <c r="D249" s="15"/>
      <c r="E249" s="229" t="str">
        <f t="shared" si="36"/>
        <v>0x50A</v>
      </c>
      <c r="F249" s="281"/>
      <c r="G249" s="470"/>
      <c r="H249" s="415"/>
      <c r="I249" s="585"/>
      <c r="J249" s="260"/>
      <c r="K249" s="260"/>
      <c r="L249" s="308"/>
      <c r="M249" s="20"/>
      <c r="N249" s="11"/>
      <c r="O249" s="11"/>
      <c r="P249" s="11"/>
      <c r="Q249" s="11"/>
      <c r="R249" s="11"/>
    </row>
    <row r="250" spans="1:18" x14ac:dyDescent="0.45">
      <c r="A250" s="637"/>
      <c r="B250" s="446">
        <f t="shared" si="37"/>
        <v>11</v>
      </c>
      <c r="C250" s="448" t="str">
        <f t="shared" si="35"/>
        <v>.bit 11</v>
      </c>
      <c r="D250" s="15" t="s">
        <v>78</v>
      </c>
      <c r="E250" s="123" t="str">
        <f t="shared" si="36"/>
        <v>0x50B</v>
      </c>
      <c r="F250" s="282" t="s">
        <v>265</v>
      </c>
      <c r="G250" s="495" t="s">
        <v>923</v>
      </c>
      <c r="H250" s="289" t="s">
        <v>923</v>
      </c>
      <c r="I250" s="565"/>
      <c r="J250" s="318" t="s">
        <v>921</v>
      </c>
      <c r="K250" s="318" t="s">
        <v>605</v>
      </c>
      <c r="L250" s="308">
        <v>0</v>
      </c>
      <c r="M250" s="20"/>
      <c r="N250" s="11"/>
      <c r="O250" s="11"/>
      <c r="P250" s="11"/>
      <c r="Q250" s="11"/>
      <c r="R250" s="11"/>
    </row>
    <row r="251" spans="1:18" x14ac:dyDescent="0.45">
      <c r="A251" s="637"/>
      <c r="B251" s="446">
        <f t="shared" si="37"/>
        <v>12</v>
      </c>
      <c r="C251" s="448" t="str">
        <f t="shared" si="35"/>
        <v>.bit 12</v>
      </c>
      <c r="D251" s="15" t="s">
        <v>79</v>
      </c>
      <c r="E251" s="123" t="str">
        <f t="shared" si="36"/>
        <v>0x50C</v>
      </c>
      <c r="F251" s="280" t="s">
        <v>80</v>
      </c>
      <c r="G251" s="495" t="s">
        <v>923</v>
      </c>
      <c r="H251" s="289" t="s">
        <v>923</v>
      </c>
      <c r="I251" s="565"/>
      <c r="J251" s="318" t="s">
        <v>921</v>
      </c>
      <c r="K251" s="318" t="s">
        <v>605</v>
      </c>
      <c r="L251" s="316">
        <v>0</v>
      </c>
      <c r="M251" s="15"/>
      <c r="N251" s="11"/>
      <c r="O251" s="11"/>
      <c r="P251" s="11"/>
      <c r="Q251" s="11"/>
      <c r="R251" s="11"/>
    </row>
    <row r="252" spans="1:18" ht="15" customHeight="1" x14ac:dyDescent="0.45">
      <c r="A252" s="637"/>
      <c r="B252" s="446">
        <f t="shared" si="37"/>
        <v>13</v>
      </c>
      <c r="C252" s="448" t="str">
        <f t="shared" si="35"/>
        <v>.bit 13</v>
      </c>
      <c r="D252" s="15" t="s">
        <v>81</v>
      </c>
      <c r="E252" s="123" t="str">
        <f t="shared" si="36"/>
        <v>0x50D</v>
      </c>
      <c r="F252" s="278" t="s">
        <v>293</v>
      </c>
      <c r="G252" s="495" t="s">
        <v>923</v>
      </c>
      <c r="H252" s="289" t="s">
        <v>923</v>
      </c>
      <c r="I252" s="565"/>
      <c r="J252" s="318" t="s">
        <v>921</v>
      </c>
      <c r="K252" s="318" t="s">
        <v>605</v>
      </c>
      <c r="L252" s="316">
        <v>0</v>
      </c>
      <c r="M252" s="13"/>
      <c r="N252" s="11"/>
      <c r="O252" s="92"/>
      <c r="P252" s="92"/>
      <c r="Q252" s="705"/>
      <c r="R252" s="705"/>
    </row>
    <row r="253" spans="1:18" x14ac:dyDescent="0.45">
      <c r="A253" s="637"/>
      <c r="B253" s="446">
        <f t="shared" si="37"/>
        <v>14</v>
      </c>
      <c r="C253" s="448" t="str">
        <f t="shared" si="35"/>
        <v>.bit 14</v>
      </c>
      <c r="D253" s="15" t="s">
        <v>82</v>
      </c>
      <c r="E253" s="123" t="str">
        <f t="shared" si="36"/>
        <v>0x50E</v>
      </c>
      <c r="F253" s="278" t="s">
        <v>292</v>
      </c>
      <c r="G253" s="495" t="s">
        <v>923</v>
      </c>
      <c r="H253" s="289" t="s">
        <v>923</v>
      </c>
      <c r="I253" s="565"/>
      <c r="J253" s="318" t="s">
        <v>921</v>
      </c>
      <c r="K253" s="318" t="s">
        <v>605</v>
      </c>
      <c r="L253" s="316">
        <v>0</v>
      </c>
      <c r="M253" s="13"/>
      <c r="N253" s="11"/>
      <c r="O253" s="92"/>
      <c r="P253" s="92"/>
      <c r="Q253" s="17"/>
      <c r="R253" s="17"/>
    </row>
    <row r="254" spans="1:18" ht="15" customHeight="1" x14ac:dyDescent="0.45">
      <c r="A254" s="637"/>
      <c r="B254" s="447">
        <f t="shared" si="37"/>
        <v>15</v>
      </c>
      <c r="C254" s="449" t="str">
        <f t="shared" si="35"/>
        <v>.bit 15</v>
      </c>
      <c r="D254" s="80" t="s">
        <v>83</v>
      </c>
      <c r="E254" s="125" t="str">
        <f t="shared" si="36"/>
        <v>0x50F</v>
      </c>
      <c r="F254" s="345" t="s">
        <v>670</v>
      </c>
      <c r="G254" s="495" t="s">
        <v>923</v>
      </c>
      <c r="H254" s="289" t="s">
        <v>923</v>
      </c>
      <c r="I254" s="565"/>
      <c r="J254" s="324" t="s">
        <v>921</v>
      </c>
      <c r="K254" s="318" t="s">
        <v>605</v>
      </c>
      <c r="L254" s="316">
        <v>0</v>
      </c>
      <c r="M254" s="13"/>
      <c r="N254" s="11"/>
      <c r="O254" s="11"/>
      <c r="P254" s="11"/>
      <c r="Q254" s="705"/>
      <c r="R254" s="705"/>
    </row>
    <row r="255" spans="1:18" x14ac:dyDescent="0.45">
      <c r="A255" s="637"/>
      <c r="B255" s="63" t="s">
        <v>85</v>
      </c>
      <c r="C255" s="129" t="str">
        <f>CONCATENATE("0x", DEC2HEX(1+HEX2DEC('inicio zonas'!$C$10)))</f>
        <v>0x51</v>
      </c>
      <c r="D255" s="60"/>
      <c r="E255" s="108"/>
      <c r="F255" s="111" t="s">
        <v>715</v>
      </c>
      <c r="G255" s="493" t="s">
        <v>923</v>
      </c>
      <c r="H255" s="203" t="s">
        <v>923</v>
      </c>
      <c r="I255" s="575"/>
      <c r="J255" s="205" t="s">
        <v>922</v>
      </c>
      <c r="K255" s="205" t="s">
        <v>919</v>
      </c>
      <c r="L255" s="325">
        <v>650</v>
      </c>
      <c r="M255" s="14"/>
      <c r="N255" s="12"/>
      <c r="O255" s="12"/>
      <c r="P255" s="12"/>
      <c r="Q255" s="12"/>
      <c r="R255" s="12"/>
    </row>
    <row r="256" spans="1:18" x14ac:dyDescent="0.45">
      <c r="A256" s="637"/>
      <c r="B256" s="63" t="s">
        <v>84</v>
      </c>
      <c r="C256" s="129" t="str">
        <f>CONCATENATE("0x", DEC2HEX(2+HEX2DEC('inicio zonas'!$C$10)))</f>
        <v>0x52</v>
      </c>
      <c r="D256" s="60"/>
      <c r="E256" s="108"/>
      <c r="F256" s="111" t="s">
        <v>716</v>
      </c>
      <c r="G256" s="493" t="s">
        <v>923</v>
      </c>
      <c r="H256" s="203" t="s">
        <v>923</v>
      </c>
      <c r="I256" s="575"/>
      <c r="J256" s="205" t="s">
        <v>922</v>
      </c>
      <c r="K256" s="205" t="s">
        <v>919</v>
      </c>
      <c r="L256" s="325">
        <v>850</v>
      </c>
      <c r="M256" s="14"/>
      <c r="N256" s="12"/>
      <c r="O256" s="12"/>
      <c r="P256" s="12"/>
      <c r="Q256" s="12"/>
      <c r="R256" s="12"/>
    </row>
    <row r="257" spans="1:18" x14ac:dyDescent="0.45">
      <c r="A257" s="637"/>
      <c r="B257" s="64"/>
      <c r="C257" s="140"/>
      <c r="D257" s="66"/>
      <c r="E257" s="110"/>
      <c r="F257" s="112"/>
      <c r="G257" s="326"/>
      <c r="H257" s="112"/>
      <c r="I257" s="590"/>
      <c r="J257" s="141"/>
      <c r="K257" s="141"/>
      <c r="L257" s="301"/>
      <c r="M257" s="14"/>
      <c r="N257" s="12"/>
      <c r="O257" s="12"/>
      <c r="P257" s="12"/>
      <c r="Q257" s="12"/>
      <c r="R257" s="12"/>
    </row>
    <row r="258" spans="1:18" ht="14.65" thickBot="1" x14ac:dyDescent="0.5">
      <c r="A258" s="637"/>
      <c r="B258" s="436" t="s">
        <v>886</v>
      </c>
      <c r="C258" s="129" t="str">
        <f>CONCATENATE("0x", DEC2HEX(5+HEX2DEC('inicio zonas'!$C$10)))</f>
        <v>0x55</v>
      </c>
      <c r="D258" s="411"/>
      <c r="E258" s="435"/>
      <c r="F258" s="111"/>
      <c r="G258" s="493" t="s">
        <v>923</v>
      </c>
      <c r="H258" s="203" t="s">
        <v>923</v>
      </c>
      <c r="I258" s="575"/>
      <c r="J258" s="205" t="s">
        <v>922</v>
      </c>
      <c r="K258" s="318" t="s">
        <v>605</v>
      </c>
      <c r="L258" s="325">
        <v>0</v>
      </c>
      <c r="M258" s="14"/>
      <c r="N258" s="12"/>
      <c r="O258" s="12"/>
      <c r="P258" s="12"/>
      <c r="Q258" s="12"/>
      <c r="R258" s="12"/>
    </row>
    <row r="259" spans="1:18" x14ac:dyDescent="0.45">
      <c r="A259" s="637"/>
      <c r="B259" s="43" t="s">
        <v>186</v>
      </c>
      <c r="C259" s="121" t="str">
        <f>CONCATENATE("0x", DEC2HEX(6+HEX2DEC('inicio zonas'!$C$10)))</f>
        <v>0x56</v>
      </c>
      <c r="D259" s="39"/>
      <c r="E259" s="98"/>
      <c r="F259" s="43"/>
      <c r="G259" s="509"/>
      <c r="H259" s="524"/>
      <c r="I259" s="570"/>
      <c r="J259" s="218"/>
      <c r="K259" s="218"/>
      <c r="L259" s="327"/>
      <c r="M259" s="13"/>
      <c r="N259" s="9" t="s">
        <v>70</v>
      </c>
      <c r="O259" s="8" t="str">
        <f>E260</f>
        <v>0x560</v>
      </c>
      <c r="P259" s="3" t="str">
        <f>E262</f>
        <v>0x562</v>
      </c>
      <c r="Q259" s="12"/>
    </row>
    <row r="260" spans="1:18" x14ac:dyDescent="0.45">
      <c r="A260" s="637"/>
      <c r="B260" s="44">
        <v>0</v>
      </c>
      <c r="C260" s="28" t="str">
        <f>CONCATENATE(".bit ", B260)</f>
        <v>.bit 0</v>
      </c>
      <c r="D260" s="15" t="s">
        <v>477</v>
      </c>
      <c r="E260" s="123" t="str">
        <f>CONCATENATE($C$259,DEC2HEX(B260))</f>
        <v>0x560</v>
      </c>
      <c r="F260" s="278" t="s">
        <v>266</v>
      </c>
      <c r="G260" s="495" t="s">
        <v>923</v>
      </c>
      <c r="H260" s="289" t="s">
        <v>923</v>
      </c>
      <c r="I260" s="565"/>
      <c r="J260" s="298" t="s">
        <v>922</v>
      </c>
      <c r="K260" s="298" t="s">
        <v>605</v>
      </c>
      <c r="L260" s="317">
        <v>0</v>
      </c>
      <c r="M260" s="13"/>
      <c r="N260" s="6" t="s">
        <v>72</v>
      </c>
      <c r="O260" s="4">
        <v>0</v>
      </c>
      <c r="P260" s="1">
        <v>0</v>
      </c>
      <c r="Q260" s="12"/>
    </row>
    <row r="261" spans="1:18" x14ac:dyDescent="0.45">
      <c r="A261" s="637"/>
      <c r="B261" s="44">
        <f>B260+1</f>
        <v>1</v>
      </c>
      <c r="C261" s="28" t="str">
        <f t="shared" ref="C261:C275" si="38">CONCATENATE(".bit ", B261)</f>
        <v>.bit 1</v>
      </c>
      <c r="D261" s="15"/>
      <c r="E261" s="123" t="str">
        <f t="shared" ref="E261:E275" si="39">CONCATENATE($C$259,DEC2HEX(B261))</f>
        <v>0x561</v>
      </c>
      <c r="F261" s="278"/>
      <c r="G261" s="510"/>
      <c r="H261" s="525"/>
      <c r="I261" s="591"/>
      <c r="J261" s="310"/>
      <c r="K261" s="310"/>
      <c r="L261" s="316"/>
      <c r="M261" s="13"/>
      <c r="N261" s="6" t="s">
        <v>71</v>
      </c>
      <c r="O261" s="4">
        <v>1</v>
      </c>
      <c r="P261" s="1">
        <v>0</v>
      </c>
      <c r="Q261" s="12"/>
    </row>
    <row r="262" spans="1:18" ht="14.65" thickBot="1" x14ac:dyDescent="0.5">
      <c r="A262" s="637"/>
      <c r="B262" s="44">
        <f t="shared" ref="B262:B275" si="40">B261+1</f>
        <v>2</v>
      </c>
      <c r="C262" s="28" t="str">
        <f t="shared" si="38"/>
        <v>.bit 2</v>
      </c>
      <c r="D262" s="15" t="s">
        <v>476</v>
      </c>
      <c r="E262" s="123" t="str">
        <f t="shared" si="39"/>
        <v>0x562</v>
      </c>
      <c r="F262" s="278" t="s">
        <v>474</v>
      </c>
      <c r="G262" s="495" t="s">
        <v>923</v>
      </c>
      <c r="H262" s="289" t="s">
        <v>923</v>
      </c>
      <c r="I262" s="565"/>
      <c r="J262" s="298" t="s">
        <v>922</v>
      </c>
      <c r="K262" s="298" t="s">
        <v>605</v>
      </c>
      <c r="L262" s="317">
        <v>0</v>
      </c>
      <c r="M262" s="13"/>
      <c r="N262" s="7" t="s">
        <v>75</v>
      </c>
      <c r="O262" s="5" t="s">
        <v>73</v>
      </c>
      <c r="P262" s="2">
        <v>1</v>
      </c>
      <c r="Q262" s="12"/>
    </row>
    <row r="263" spans="1:18" x14ac:dyDescent="0.45">
      <c r="A263" s="637"/>
      <c r="B263" s="44">
        <f t="shared" si="40"/>
        <v>3</v>
      </c>
      <c r="C263" s="28" t="str">
        <f t="shared" si="38"/>
        <v>.bit 3</v>
      </c>
      <c r="D263" s="15" t="s">
        <v>86</v>
      </c>
      <c r="E263" s="123" t="str">
        <f t="shared" si="39"/>
        <v>0x563</v>
      </c>
      <c r="F263" s="278" t="s">
        <v>76</v>
      </c>
      <c r="G263" s="495" t="s">
        <v>923</v>
      </c>
      <c r="H263" s="289" t="s">
        <v>923</v>
      </c>
      <c r="I263" s="565"/>
      <c r="J263" s="298" t="s">
        <v>922</v>
      </c>
      <c r="K263" s="298" t="s">
        <v>919</v>
      </c>
      <c r="L263" s="317">
        <v>0</v>
      </c>
      <c r="M263" s="13"/>
      <c r="N263" s="12"/>
      <c r="O263" s="12"/>
      <c r="P263" s="12"/>
      <c r="Q263" s="12"/>
      <c r="R263" s="12"/>
    </row>
    <row r="264" spans="1:18" x14ac:dyDescent="0.45">
      <c r="A264" s="637"/>
      <c r="B264" s="44">
        <f t="shared" si="40"/>
        <v>4</v>
      </c>
      <c r="C264" s="28" t="str">
        <f t="shared" si="38"/>
        <v>.bit 4</v>
      </c>
      <c r="D264" s="15" t="s">
        <v>87</v>
      </c>
      <c r="E264" s="123" t="str">
        <f t="shared" si="39"/>
        <v>0x564</v>
      </c>
      <c r="F264" s="278" t="s">
        <v>77</v>
      </c>
      <c r="G264" s="495" t="s">
        <v>923</v>
      </c>
      <c r="H264" s="289" t="s">
        <v>923</v>
      </c>
      <c r="I264" s="565"/>
      <c r="J264" s="298" t="s">
        <v>922</v>
      </c>
      <c r="K264" s="298" t="s">
        <v>919</v>
      </c>
      <c r="L264" s="317">
        <v>0</v>
      </c>
      <c r="M264" s="13"/>
      <c r="N264" s="12"/>
      <c r="O264" s="12"/>
      <c r="P264" s="12"/>
      <c r="Q264" s="12"/>
      <c r="R264" s="12"/>
    </row>
    <row r="265" spans="1:18" x14ac:dyDescent="0.45">
      <c r="A265" s="637"/>
      <c r="B265" s="44">
        <f t="shared" si="40"/>
        <v>5</v>
      </c>
      <c r="C265" s="28" t="str">
        <f t="shared" si="38"/>
        <v>.bit 5</v>
      </c>
      <c r="D265" s="15"/>
      <c r="E265" s="123" t="str">
        <f t="shared" si="39"/>
        <v>0x565</v>
      </c>
      <c r="F265" s="278"/>
      <c r="G265" s="508"/>
      <c r="H265" s="414"/>
      <c r="I265" s="565"/>
      <c r="J265" s="289"/>
      <c r="K265" s="289"/>
      <c r="L265" s="316"/>
      <c r="M265" s="13"/>
      <c r="N265" s="12"/>
      <c r="O265" s="12"/>
      <c r="P265" s="12"/>
      <c r="Q265" s="12"/>
      <c r="R265" s="12"/>
    </row>
    <row r="266" spans="1:18" x14ac:dyDescent="0.45">
      <c r="A266" s="637"/>
      <c r="B266" s="44">
        <f t="shared" si="40"/>
        <v>6</v>
      </c>
      <c r="C266" s="28" t="str">
        <f t="shared" si="38"/>
        <v>.bit 6</v>
      </c>
      <c r="D266" s="15" t="s">
        <v>88</v>
      </c>
      <c r="E266" s="123" t="str">
        <f t="shared" si="39"/>
        <v>0x566</v>
      </c>
      <c r="F266" s="278" t="s">
        <v>304</v>
      </c>
      <c r="G266" s="495" t="s">
        <v>923</v>
      </c>
      <c r="H266" s="289" t="s">
        <v>923</v>
      </c>
      <c r="I266" s="565"/>
      <c r="J266" s="298" t="s">
        <v>922</v>
      </c>
      <c r="K266" s="298" t="s">
        <v>605</v>
      </c>
      <c r="L266" s="317">
        <v>0</v>
      </c>
      <c r="M266" s="13"/>
      <c r="N266" s="12"/>
      <c r="O266" s="12"/>
      <c r="P266" s="12"/>
      <c r="Q266" s="12"/>
      <c r="R266" s="12"/>
    </row>
    <row r="267" spans="1:18" x14ac:dyDescent="0.45">
      <c r="A267" s="637"/>
      <c r="B267" s="44">
        <f t="shared" si="40"/>
        <v>7</v>
      </c>
      <c r="C267" s="28" t="str">
        <f t="shared" si="38"/>
        <v>.bit 7</v>
      </c>
      <c r="D267" s="15" t="s">
        <v>320</v>
      </c>
      <c r="E267" s="123" t="str">
        <f t="shared" si="39"/>
        <v>0x567</v>
      </c>
      <c r="F267" s="278" t="s">
        <v>74</v>
      </c>
      <c r="G267" s="495" t="s">
        <v>923</v>
      </c>
      <c r="H267" s="289" t="s">
        <v>923</v>
      </c>
      <c r="I267" s="565"/>
      <c r="J267" s="324" t="s">
        <v>922</v>
      </c>
      <c r="K267" s="324" t="s">
        <v>605</v>
      </c>
      <c r="L267" s="317">
        <v>0</v>
      </c>
      <c r="M267" s="13"/>
      <c r="N267" s="12"/>
      <c r="O267" s="12"/>
      <c r="P267" s="12"/>
      <c r="Q267" s="12"/>
      <c r="R267" s="12"/>
    </row>
    <row r="268" spans="1:18" x14ac:dyDescent="0.45">
      <c r="A268" s="637"/>
      <c r="B268" s="44">
        <f t="shared" si="40"/>
        <v>8</v>
      </c>
      <c r="C268" s="28" t="str">
        <f t="shared" si="38"/>
        <v>.bit 8</v>
      </c>
      <c r="D268" s="15"/>
      <c r="E268" s="123" t="str">
        <f t="shared" si="39"/>
        <v>0x568</v>
      </c>
      <c r="F268" s="278"/>
      <c r="G268" s="508"/>
      <c r="H268" s="414"/>
      <c r="I268" s="565"/>
      <c r="J268" s="289"/>
      <c r="K268" s="289"/>
      <c r="L268" s="316"/>
      <c r="M268" s="13"/>
      <c r="N268" s="12"/>
      <c r="O268" s="12"/>
      <c r="P268" s="12"/>
      <c r="Q268" s="12"/>
      <c r="R268" s="12"/>
    </row>
    <row r="269" spans="1:18" x14ac:dyDescent="0.45">
      <c r="A269" s="637"/>
      <c r="B269" s="44">
        <f t="shared" si="40"/>
        <v>9</v>
      </c>
      <c r="C269" s="28" t="str">
        <f t="shared" si="38"/>
        <v>.bit 9</v>
      </c>
      <c r="D269" s="15" t="s">
        <v>89</v>
      </c>
      <c r="E269" s="123" t="str">
        <f t="shared" si="39"/>
        <v>0x569</v>
      </c>
      <c r="F269" s="278" t="s">
        <v>267</v>
      </c>
      <c r="G269" s="495" t="s">
        <v>923</v>
      </c>
      <c r="H269" s="289" t="s">
        <v>923</v>
      </c>
      <c r="I269" s="565"/>
      <c r="J269" s="298" t="s">
        <v>922</v>
      </c>
      <c r="K269" s="298" t="s">
        <v>919</v>
      </c>
      <c r="L269" s="317">
        <v>1</v>
      </c>
      <c r="M269" s="13"/>
      <c r="N269" s="12"/>
      <c r="O269" s="12"/>
      <c r="P269" s="12"/>
      <c r="Q269" s="12"/>
      <c r="R269" s="12"/>
    </row>
    <row r="270" spans="1:18" x14ac:dyDescent="0.45">
      <c r="A270" s="637"/>
      <c r="B270" s="44">
        <f t="shared" si="40"/>
        <v>10</v>
      </c>
      <c r="C270" s="28" t="str">
        <f t="shared" si="38"/>
        <v>.bit 10</v>
      </c>
      <c r="D270" s="15" t="s">
        <v>90</v>
      </c>
      <c r="E270" s="123" t="str">
        <f t="shared" si="39"/>
        <v>0x56A</v>
      </c>
      <c r="F270" s="278" t="s">
        <v>268</v>
      </c>
      <c r="G270" s="495" t="s">
        <v>923</v>
      </c>
      <c r="H270" s="289" t="s">
        <v>923</v>
      </c>
      <c r="I270" s="565"/>
      <c r="J270" s="298" t="s">
        <v>922</v>
      </c>
      <c r="K270" s="298" t="s">
        <v>919</v>
      </c>
      <c r="L270" s="317">
        <v>1</v>
      </c>
      <c r="M270" s="13"/>
      <c r="N270" s="12"/>
      <c r="O270" s="12"/>
      <c r="P270" s="12"/>
      <c r="Q270" s="12"/>
      <c r="R270" s="12"/>
    </row>
    <row r="271" spans="1:18" x14ac:dyDescent="0.45">
      <c r="A271" s="637"/>
      <c r="B271" s="44">
        <f t="shared" si="40"/>
        <v>11</v>
      </c>
      <c r="C271" s="28" t="str">
        <f t="shared" si="38"/>
        <v>.bit 11</v>
      </c>
      <c r="D271" s="15"/>
      <c r="E271" s="123" t="str">
        <f t="shared" si="39"/>
        <v>0x56B</v>
      </c>
      <c r="F271" s="278"/>
      <c r="G271" s="508"/>
      <c r="H271" s="414"/>
      <c r="I271" s="565"/>
      <c r="J271" s="289"/>
      <c r="K271" s="289"/>
      <c r="L271" s="316"/>
      <c r="M271" s="13"/>
      <c r="N271" s="12"/>
      <c r="O271" s="12"/>
      <c r="P271" s="12"/>
      <c r="Q271" s="12"/>
      <c r="R271" s="12"/>
    </row>
    <row r="272" spans="1:18" x14ac:dyDescent="0.45">
      <c r="A272" s="637"/>
      <c r="B272" s="44">
        <f t="shared" si="40"/>
        <v>12</v>
      </c>
      <c r="C272" s="28" t="str">
        <f t="shared" si="38"/>
        <v>.bit 12</v>
      </c>
      <c r="D272" s="15" t="s">
        <v>721</v>
      </c>
      <c r="E272" s="123" t="str">
        <f t="shared" si="39"/>
        <v>0x56C</v>
      </c>
      <c r="F272" s="280" t="s">
        <v>722</v>
      </c>
      <c r="G272" s="495" t="s">
        <v>923</v>
      </c>
      <c r="H272" s="289" t="s">
        <v>923</v>
      </c>
      <c r="I272" s="565"/>
      <c r="J272" s="318" t="s">
        <v>922</v>
      </c>
      <c r="K272" s="298" t="s">
        <v>605</v>
      </c>
      <c r="L272" s="317">
        <v>1</v>
      </c>
      <c r="M272" s="15"/>
      <c r="N272" s="12"/>
      <c r="O272" s="12"/>
      <c r="P272" s="12"/>
      <c r="Q272" s="12"/>
      <c r="R272" s="12"/>
    </row>
    <row r="273" spans="1:18" x14ac:dyDescent="0.45">
      <c r="A273" s="637"/>
      <c r="B273" s="44">
        <f t="shared" si="40"/>
        <v>13</v>
      </c>
      <c r="C273" s="28" t="str">
        <f t="shared" si="38"/>
        <v>.bit 13</v>
      </c>
      <c r="D273" s="15" t="s">
        <v>570</v>
      </c>
      <c r="E273" s="123" t="str">
        <f t="shared" si="39"/>
        <v>0x56D</v>
      </c>
      <c r="F273" s="278" t="s">
        <v>671</v>
      </c>
      <c r="G273" s="495" t="s">
        <v>923</v>
      </c>
      <c r="H273" s="289" t="s">
        <v>923</v>
      </c>
      <c r="I273" s="565"/>
      <c r="J273" s="318" t="s">
        <v>921</v>
      </c>
      <c r="K273" s="298" t="s">
        <v>605</v>
      </c>
      <c r="L273" s="317">
        <v>0</v>
      </c>
      <c r="M273" s="13"/>
      <c r="N273" s="12"/>
      <c r="O273" s="14"/>
      <c r="P273" s="14"/>
      <c r="Q273" s="705"/>
      <c r="R273" s="705"/>
    </row>
    <row r="274" spans="1:18" x14ac:dyDescent="0.45">
      <c r="A274" s="637"/>
      <c r="B274" s="446">
        <f t="shared" si="40"/>
        <v>14</v>
      </c>
      <c r="C274" s="28" t="str">
        <f t="shared" si="38"/>
        <v>.bit 14</v>
      </c>
      <c r="D274" s="15" t="s">
        <v>463</v>
      </c>
      <c r="E274" s="123" t="str">
        <f t="shared" si="39"/>
        <v>0x56E</v>
      </c>
      <c r="F274" s="278" t="s">
        <v>475</v>
      </c>
      <c r="G274" s="495" t="s">
        <v>923</v>
      </c>
      <c r="H274" s="289" t="s">
        <v>923</v>
      </c>
      <c r="I274" s="565"/>
      <c r="J274" s="318" t="s">
        <v>921</v>
      </c>
      <c r="K274" s="324" t="s">
        <v>605</v>
      </c>
      <c r="L274" s="317">
        <v>0</v>
      </c>
      <c r="M274" s="13"/>
      <c r="N274" s="12"/>
      <c r="O274" s="14"/>
      <c r="P274" s="14"/>
      <c r="Q274" s="17"/>
      <c r="R274" s="17"/>
    </row>
    <row r="275" spans="1:18" x14ac:dyDescent="0.45">
      <c r="A275" s="637"/>
      <c r="B275" s="447">
        <f t="shared" si="40"/>
        <v>15</v>
      </c>
      <c r="C275" s="46" t="str">
        <f t="shared" si="38"/>
        <v>.bit 15</v>
      </c>
      <c r="D275" s="80" t="s">
        <v>462</v>
      </c>
      <c r="E275" s="125" t="str">
        <f t="shared" si="39"/>
        <v>0x56F</v>
      </c>
      <c r="F275" s="102" t="s">
        <v>465</v>
      </c>
      <c r="G275" s="495" t="s">
        <v>923</v>
      </c>
      <c r="H275" s="289" t="s">
        <v>923</v>
      </c>
      <c r="I275" s="565"/>
      <c r="J275" s="324" t="s">
        <v>921</v>
      </c>
      <c r="K275" s="213" t="s">
        <v>605</v>
      </c>
      <c r="L275" s="328">
        <v>0</v>
      </c>
      <c r="M275" s="13"/>
      <c r="N275" s="12"/>
      <c r="O275" s="12"/>
      <c r="P275" s="12"/>
      <c r="Q275" s="705"/>
      <c r="R275" s="705"/>
    </row>
    <row r="276" spans="1:18" x14ac:dyDescent="0.45">
      <c r="A276" s="637"/>
      <c r="B276" s="444" t="s">
        <v>187</v>
      </c>
      <c r="C276" s="129" t="str">
        <f>CONCATENATE("0x", DEC2HEX(7+HEX2DEC('inicio zonas'!$C$10)))</f>
        <v>0x57</v>
      </c>
      <c r="D276" s="71"/>
      <c r="E276" s="109"/>
      <c r="F276" s="76" t="s">
        <v>91</v>
      </c>
      <c r="G276" s="493" t="s">
        <v>923</v>
      </c>
      <c r="H276" s="203" t="s">
        <v>923</v>
      </c>
      <c r="I276" s="575"/>
      <c r="J276" s="205" t="s">
        <v>922</v>
      </c>
      <c r="K276" s="205" t="s">
        <v>605</v>
      </c>
      <c r="L276" s="291">
        <v>720</v>
      </c>
      <c r="M276" s="13"/>
      <c r="N276" s="11"/>
      <c r="O276" s="11"/>
      <c r="P276" s="11"/>
      <c r="Q276" s="11"/>
      <c r="R276" s="11"/>
    </row>
    <row r="277" spans="1:18" x14ac:dyDescent="0.45">
      <c r="A277" s="637"/>
      <c r="B277" s="63" t="s">
        <v>188</v>
      </c>
      <c r="C277" s="129" t="str">
        <f>CONCATENATE("0x", DEC2HEX(8+HEX2DEC('inicio zonas'!$C$10)))</f>
        <v>0x58</v>
      </c>
      <c r="D277" s="60"/>
      <c r="E277" s="108"/>
      <c r="F277" s="57" t="s">
        <v>294</v>
      </c>
      <c r="G277" s="493" t="s">
        <v>923</v>
      </c>
      <c r="H277" s="203" t="s">
        <v>923</v>
      </c>
      <c r="I277" s="575"/>
      <c r="J277" s="205" t="s">
        <v>922</v>
      </c>
      <c r="K277" s="205" t="s">
        <v>605</v>
      </c>
      <c r="L277" s="325">
        <v>60</v>
      </c>
      <c r="M277" s="14"/>
      <c r="N277" s="11"/>
      <c r="O277" s="11"/>
      <c r="P277" s="11"/>
      <c r="Q277" s="11"/>
      <c r="R277" s="11"/>
    </row>
    <row r="278" spans="1:18" x14ac:dyDescent="0.45">
      <c r="A278" s="637"/>
      <c r="B278" s="63" t="s">
        <v>189</v>
      </c>
      <c r="C278" s="129" t="str">
        <f>CONCATENATE("0x", DEC2HEX(9+HEX2DEC('inicio zonas'!$C$10)))</f>
        <v>0x59</v>
      </c>
      <c r="D278" s="60"/>
      <c r="E278" s="108"/>
      <c r="F278" s="57" t="s">
        <v>92</v>
      </c>
      <c r="G278" s="493" t="s">
        <v>923</v>
      </c>
      <c r="H278" s="203" t="s">
        <v>923</v>
      </c>
      <c r="I278" s="575"/>
      <c r="J278" s="205" t="s">
        <v>922</v>
      </c>
      <c r="K278" s="205" t="s">
        <v>605</v>
      </c>
      <c r="L278" s="325">
        <v>100</v>
      </c>
      <c r="M278" s="14"/>
      <c r="N278" s="11"/>
      <c r="O278" s="11"/>
      <c r="P278" s="11"/>
      <c r="Q278" s="11"/>
      <c r="R278" s="11"/>
    </row>
    <row r="279" spans="1:18" ht="46.5" customHeight="1" x14ac:dyDescent="0.45">
      <c r="A279" s="637"/>
      <c r="B279" s="63" t="s">
        <v>190</v>
      </c>
      <c r="C279" s="142" t="str">
        <f>CONCATENATE("0x", DEC2HEX(10+HEX2DEC('inicio zonas'!$C$10)))</f>
        <v>0x5A</v>
      </c>
      <c r="D279" s="60"/>
      <c r="E279" s="108"/>
      <c r="F279" s="113" t="s">
        <v>278</v>
      </c>
      <c r="G279" s="493" t="s">
        <v>923</v>
      </c>
      <c r="H279" s="203" t="s">
        <v>923</v>
      </c>
      <c r="I279" s="575"/>
      <c r="J279" s="205" t="s">
        <v>922</v>
      </c>
      <c r="K279" s="205" t="s">
        <v>919</v>
      </c>
      <c r="L279" s="291">
        <v>20</v>
      </c>
      <c r="M279" s="14"/>
      <c r="N279" s="11"/>
      <c r="O279" s="11"/>
      <c r="P279" s="11"/>
      <c r="Q279" s="11"/>
      <c r="R279" s="11"/>
    </row>
    <row r="280" spans="1:18" x14ac:dyDescent="0.45">
      <c r="A280" s="637"/>
      <c r="B280" s="57" t="s">
        <v>467</v>
      </c>
      <c r="C280" s="129" t="str">
        <f>CONCATENATE("0x", DEC2HEX(11+HEX2DEC('inicio zonas'!$C$10)))</f>
        <v>0x5B</v>
      </c>
      <c r="D280" s="60"/>
      <c r="E280" s="108"/>
      <c r="F280" s="113" t="s">
        <v>606</v>
      </c>
      <c r="G280" s="493" t="s">
        <v>923</v>
      </c>
      <c r="H280" s="203" t="s">
        <v>923</v>
      </c>
      <c r="I280" s="575"/>
      <c r="J280" s="205" t="s">
        <v>922</v>
      </c>
      <c r="K280" s="205" t="s">
        <v>919</v>
      </c>
      <c r="L280" s="325">
        <v>2</v>
      </c>
      <c r="M280" s="14"/>
      <c r="N280" s="11"/>
      <c r="O280" s="11"/>
      <c r="P280" s="11"/>
      <c r="Q280" s="11"/>
      <c r="R280" s="11"/>
    </row>
    <row r="281" spans="1:18" x14ac:dyDescent="0.45">
      <c r="A281" s="637"/>
      <c r="B281" s="57" t="s">
        <v>468</v>
      </c>
      <c r="C281" s="129" t="str">
        <f>CONCATENATE("0x", DEC2HEX(12+HEX2DEC('inicio zonas'!$C$10)))</f>
        <v>0x5C</v>
      </c>
      <c r="D281" s="60"/>
      <c r="E281" s="108"/>
      <c r="F281" s="113" t="s">
        <v>607</v>
      </c>
      <c r="G281" s="493" t="s">
        <v>923</v>
      </c>
      <c r="H281" s="203" t="s">
        <v>923</v>
      </c>
      <c r="I281" s="575"/>
      <c r="J281" s="205" t="s">
        <v>922</v>
      </c>
      <c r="K281" s="205" t="s">
        <v>919</v>
      </c>
      <c r="L281" s="325">
        <v>1</v>
      </c>
      <c r="M281" s="14"/>
      <c r="N281" s="11"/>
      <c r="O281" s="11"/>
      <c r="P281" s="11"/>
      <c r="Q281" s="11"/>
      <c r="R281" s="11"/>
    </row>
    <row r="282" spans="1:18" x14ac:dyDescent="0.45">
      <c r="A282" s="637"/>
      <c r="B282" s="57" t="s">
        <v>450</v>
      </c>
      <c r="C282" s="129" t="str">
        <f>CONCATENATE("0x", DEC2HEX(13+HEX2DEC('inicio zonas'!$C$10)))</f>
        <v>0x5D</v>
      </c>
      <c r="D282" s="60"/>
      <c r="E282" s="108"/>
      <c r="F282" s="113" t="s">
        <v>608</v>
      </c>
      <c r="G282" s="511" t="s">
        <v>923</v>
      </c>
      <c r="H282" s="526" t="s">
        <v>923</v>
      </c>
      <c r="I282" s="592"/>
      <c r="J282" s="205" t="s">
        <v>922</v>
      </c>
      <c r="K282" s="205" t="s">
        <v>919</v>
      </c>
      <c r="L282" s="325">
        <v>15</v>
      </c>
      <c r="M282" s="14"/>
      <c r="N282" s="11"/>
      <c r="O282" s="11"/>
      <c r="P282" s="11"/>
      <c r="Q282" s="11"/>
      <c r="R282" s="11"/>
    </row>
    <row r="283" spans="1:18" x14ac:dyDescent="0.45">
      <c r="A283" s="638"/>
      <c r="B283" s="57" t="s">
        <v>449</v>
      </c>
      <c r="C283" s="129" t="str">
        <f>CONCATENATE("0x", DEC2HEX(14+HEX2DEC('inicio zonas'!$C$10)))</f>
        <v>0x5E</v>
      </c>
      <c r="D283" s="60"/>
      <c r="E283" s="108"/>
      <c r="F283" s="57" t="s">
        <v>443</v>
      </c>
      <c r="G283" s="511" t="s">
        <v>923</v>
      </c>
      <c r="H283" s="526" t="s">
        <v>923</v>
      </c>
      <c r="I283" s="592"/>
      <c r="J283" s="205" t="s">
        <v>922</v>
      </c>
      <c r="K283" s="205" t="s">
        <v>919</v>
      </c>
      <c r="L283" s="325">
        <v>100</v>
      </c>
      <c r="M283" s="14"/>
      <c r="N283" s="11"/>
      <c r="O283" s="11"/>
      <c r="P283" s="11"/>
      <c r="Q283" s="11"/>
      <c r="R283" s="11"/>
    </row>
    <row r="284" spans="1:18" x14ac:dyDescent="0.45">
      <c r="B284" s="119"/>
      <c r="C284" s="119"/>
      <c r="D284" s="119"/>
      <c r="E284" s="119"/>
      <c r="F284" s="119"/>
      <c r="G284" s="504"/>
      <c r="H284" s="276"/>
      <c r="I284" s="123"/>
      <c r="J284" s="120"/>
      <c r="K284" s="120"/>
      <c r="L284" s="292"/>
      <c r="M284" s="21"/>
    </row>
    <row r="285" spans="1:18" x14ac:dyDescent="0.45">
      <c r="B285" s="119"/>
      <c r="C285" s="119"/>
      <c r="D285" s="119"/>
      <c r="E285" s="119"/>
      <c r="F285" s="119"/>
      <c r="G285" s="504"/>
      <c r="H285" s="276"/>
      <c r="I285" s="123"/>
      <c r="J285" s="120"/>
      <c r="K285" s="120"/>
      <c r="L285" s="292"/>
      <c r="M285" s="21"/>
    </row>
    <row r="286" spans="1:18" x14ac:dyDescent="0.45">
      <c r="A286" s="636" t="s">
        <v>136</v>
      </c>
      <c r="B286" s="43" t="s">
        <v>93</v>
      </c>
      <c r="C286" s="121" t="str">
        <f>CONCATENATE("0x", DEC2HEX(HEX2DEC('inicio zonas'!$C$11)))</f>
        <v>0x80</v>
      </c>
      <c r="D286" s="39"/>
      <c r="E286" s="98"/>
      <c r="F286" s="122"/>
      <c r="G286" s="538"/>
      <c r="H286" s="539"/>
      <c r="I286" s="593"/>
      <c r="J286" s="209"/>
      <c r="K286" s="209"/>
      <c r="L286" s="302"/>
      <c r="M286" s="20"/>
      <c r="N286" s="18"/>
      <c r="O286" s="19"/>
      <c r="P286" s="19"/>
    </row>
    <row r="287" spans="1:18" x14ac:dyDescent="0.45">
      <c r="A287" s="637"/>
      <c r="B287" s="44">
        <v>0</v>
      </c>
      <c r="C287" s="28" t="str">
        <f>CONCATENATE(".bit ", B287)</f>
        <v>.bit 0</v>
      </c>
      <c r="E287" s="123" t="str">
        <f>CONCATENATE($C$286,DEC2HEX(B287))</f>
        <v>0x800</v>
      </c>
      <c r="F287" s="278"/>
      <c r="G287" s="508"/>
      <c r="H287" s="414"/>
      <c r="I287" s="565"/>
      <c r="J287" s="289"/>
      <c r="K287" s="289"/>
      <c r="L287" s="316"/>
      <c r="M287" s="13"/>
      <c r="N287" s="4"/>
      <c r="O287" s="4"/>
      <c r="P287" s="4"/>
    </row>
    <row r="288" spans="1:18" x14ac:dyDescent="0.45">
      <c r="A288" s="637"/>
      <c r="B288" s="44">
        <f>B287+1</f>
        <v>1</v>
      </c>
      <c r="C288" s="28" t="str">
        <f t="shared" ref="C288:C302" si="41">CONCATENATE(".bit ", B288)</f>
        <v>.bit 1</v>
      </c>
      <c r="E288" s="123" t="str">
        <f t="shared" ref="E288:E302" si="42">CONCATENATE($C$286,DEC2HEX(B288))</f>
        <v>0x801</v>
      </c>
      <c r="F288" s="278"/>
      <c r="G288" s="470"/>
      <c r="H288" s="415"/>
      <c r="I288" s="585"/>
      <c r="J288" s="260"/>
      <c r="K288" s="260"/>
      <c r="L288" s="308"/>
      <c r="M288" s="13"/>
      <c r="N288" s="4"/>
      <c r="O288" s="4"/>
      <c r="P288" s="4"/>
    </row>
    <row r="289" spans="1:16" x14ac:dyDescent="0.45">
      <c r="A289" s="637"/>
      <c r="B289" s="44">
        <f t="shared" ref="B289:B302" si="43">B288+1</f>
        <v>2</v>
      </c>
      <c r="C289" s="28" t="str">
        <f t="shared" si="41"/>
        <v>.bit 2</v>
      </c>
      <c r="D289" s="15"/>
      <c r="E289" s="123" t="str">
        <f t="shared" si="42"/>
        <v>0x802</v>
      </c>
      <c r="F289" s="278"/>
      <c r="G289" s="508"/>
      <c r="H289" s="414"/>
      <c r="I289" s="565"/>
      <c r="J289" s="289"/>
      <c r="K289" s="289"/>
      <c r="L289" s="316"/>
      <c r="M289" s="13"/>
      <c r="N289" s="4"/>
      <c r="O289" s="4"/>
      <c r="P289" s="4"/>
    </row>
    <row r="290" spans="1:16" x14ac:dyDescent="0.45">
      <c r="A290" s="637"/>
      <c r="B290" s="44">
        <f t="shared" si="43"/>
        <v>3</v>
      </c>
      <c r="C290" s="28" t="str">
        <f t="shared" si="41"/>
        <v>.bit 3</v>
      </c>
      <c r="D290" s="15"/>
      <c r="E290" s="123" t="str">
        <f t="shared" si="42"/>
        <v>0x803</v>
      </c>
      <c r="F290" s="278"/>
      <c r="G290" s="508"/>
      <c r="H290" s="414"/>
      <c r="I290" s="565"/>
      <c r="J290" s="289"/>
      <c r="K290" s="289"/>
      <c r="L290" s="316"/>
      <c r="M290" s="13"/>
      <c r="N290" s="11"/>
      <c r="O290" s="11"/>
      <c r="P290" s="11"/>
    </row>
    <row r="291" spans="1:16" x14ac:dyDescent="0.45">
      <c r="A291" s="637"/>
      <c r="B291" s="44">
        <f t="shared" si="43"/>
        <v>4</v>
      </c>
      <c r="C291" s="28" t="str">
        <f t="shared" si="41"/>
        <v>.bit 4</v>
      </c>
      <c r="D291" s="15"/>
      <c r="E291" s="123" t="str">
        <f t="shared" si="42"/>
        <v>0x804</v>
      </c>
      <c r="F291" s="278"/>
      <c r="G291" s="508"/>
      <c r="H291" s="414"/>
      <c r="I291" s="565"/>
      <c r="J291" s="289"/>
      <c r="K291" s="289"/>
      <c r="L291" s="316"/>
      <c r="M291" s="13"/>
      <c r="N291" s="11"/>
      <c r="O291" s="11"/>
      <c r="P291" s="11"/>
    </row>
    <row r="292" spans="1:16" x14ac:dyDescent="0.45">
      <c r="A292" s="637"/>
      <c r="B292" s="44">
        <f t="shared" si="43"/>
        <v>5</v>
      </c>
      <c r="C292" s="28" t="str">
        <f t="shared" si="41"/>
        <v>.bit 5</v>
      </c>
      <c r="D292" s="15"/>
      <c r="E292" s="123" t="str">
        <f t="shared" si="42"/>
        <v>0x805</v>
      </c>
      <c r="F292" s="275"/>
      <c r="G292" s="470"/>
      <c r="H292" s="415"/>
      <c r="I292" s="585"/>
      <c r="J292" s="260"/>
      <c r="K292" s="260"/>
      <c r="L292" s="308"/>
      <c r="M292" s="20"/>
      <c r="N292" s="11"/>
      <c r="O292" s="11"/>
      <c r="P292" s="11"/>
    </row>
    <row r="293" spans="1:16" x14ac:dyDescent="0.45">
      <c r="A293" s="637"/>
      <c r="B293" s="446">
        <f t="shared" si="43"/>
        <v>6</v>
      </c>
      <c r="C293" s="28" t="str">
        <f t="shared" si="41"/>
        <v>.bit 6</v>
      </c>
      <c r="D293" s="15"/>
      <c r="E293" s="123" t="str">
        <f t="shared" si="42"/>
        <v>0x806</v>
      </c>
      <c r="F293" s="278"/>
      <c r="G293" s="508"/>
      <c r="H293" s="414"/>
      <c r="I293" s="565"/>
      <c r="J293" s="289"/>
      <c r="K293" s="289"/>
      <c r="L293" s="316"/>
      <c r="M293" s="13"/>
      <c r="N293" s="11"/>
      <c r="O293" s="11"/>
      <c r="P293" s="11"/>
    </row>
    <row r="294" spans="1:16" x14ac:dyDescent="0.45">
      <c r="A294" s="637"/>
      <c r="B294" s="446">
        <f t="shared" si="43"/>
        <v>7</v>
      </c>
      <c r="C294" s="28" t="str">
        <f t="shared" si="41"/>
        <v>.bit 7</v>
      </c>
      <c r="D294" s="15"/>
      <c r="E294" s="123" t="str">
        <f t="shared" si="42"/>
        <v>0x807</v>
      </c>
      <c r="F294" s="278"/>
      <c r="G294" s="508"/>
      <c r="H294" s="414"/>
      <c r="I294" s="565"/>
      <c r="J294" s="289"/>
      <c r="K294" s="289"/>
      <c r="L294" s="316"/>
      <c r="M294" s="13"/>
      <c r="N294" s="11"/>
      <c r="O294" s="11"/>
      <c r="P294" s="11"/>
    </row>
    <row r="295" spans="1:16" x14ac:dyDescent="0.45">
      <c r="A295" s="637"/>
      <c r="B295" s="446">
        <f t="shared" si="43"/>
        <v>8</v>
      </c>
      <c r="C295" s="28" t="str">
        <f t="shared" si="41"/>
        <v>.bit 8</v>
      </c>
      <c r="D295" s="15"/>
      <c r="E295" s="123" t="str">
        <f t="shared" si="42"/>
        <v>0x808</v>
      </c>
      <c r="F295" s="278"/>
      <c r="G295" s="508"/>
      <c r="H295" s="414"/>
      <c r="I295" s="565"/>
      <c r="J295" s="289"/>
      <c r="K295" s="289"/>
      <c r="L295" s="316"/>
      <c r="M295" s="13"/>
      <c r="N295" s="11"/>
      <c r="O295" s="11"/>
      <c r="P295" s="11"/>
    </row>
    <row r="296" spans="1:16" x14ac:dyDescent="0.45">
      <c r="A296" s="637"/>
      <c r="B296" s="446">
        <f t="shared" si="43"/>
        <v>9</v>
      </c>
      <c r="C296" s="28" t="str">
        <f t="shared" si="41"/>
        <v>.bit 9</v>
      </c>
      <c r="D296" s="15"/>
      <c r="E296" s="123" t="str">
        <f t="shared" si="42"/>
        <v>0x809</v>
      </c>
      <c r="F296" s="275"/>
      <c r="G296" s="470"/>
      <c r="H296" s="415"/>
      <c r="I296" s="585"/>
      <c r="J296" s="260"/>
      <c r="K296" s="260"/>
      <c r="L296" s="308"/>
      <c r="M296" s="20"/>
      <c r="N296" s="11"/>
      <c r="O296" s="11"/>
      <c r="P296" s="11"/>
    </row>
    <row r="297" spans="1:16" x14ac:dyDescent="0.45">
      <c r="A297" s="637"/>
      <c r="B297" s="446">
        <f t="shared" si="43"/>
        <v>10</v>
      </c>
      <c r="C297" s="28" t="str">
        <f t="shared" si="41"/>
        <v>.bit 10</v>
      </c>
      <c r="D297" s="15" t="s">
        <v>125</v>
      </c>
      <c r="E297" s="123" t="str">
        <f t="shared" si="42"/>
        <v>0x80A</v>
      </c>
      <c r="F297" s="275" t="s">
        <v>300</v>
      </c>
      <c r="G297" s="495" t="s">
        <v>923</v>
      </c>
      <c r="H297" s="289" t="s">
        <v>923</v>
      </c>
      <c r="I297" s="565"/>
      <c r="J297" s="318" t="s">
        <v>921</v>
      </c>
      <c r="K297" s="298" t="s">
        <v>605</v>
      </c>
      <c r="L297" s="317">
        <v>0</v>
      </c>
      <c r="M297" s="20"/>
      <c r="N297" s="11"/>
      <c r="O297" s="11"/>
      <c r="P297" s="11"/>
    </row>
    <row r="298" spans="1:16" x14ac:dyDescent="0.45">
      <c r="A298" s="637"/>
      <c r="B298" s="446">
        <f t="shared" si="43"/>
        <v>11</v>
      </c>
      <c r="C298" s="28" t="str">
        <f t="shared" si="41"/>
        <v>.bit 11</v>
      </c>
      <c r="D298" s="15" t="s">
        <v>94</v>
      </c>
      <c r="E298" s="123" t="str">
        <f t="shared" si="42"/>
        <v>0x80B</v>
      </c>
      <c r="F298" s="275" t="s">
        <v>297</v>
      </c>
      <c r="G298" s="495" t="s">
        <v>923</v>
      </c>
      <c r="H298" s="289" t="s">
        <v>923</v>
      </c>
      <c r="I298" s="565"/>
      <c r="J298" s="318" t="s">
        <v>921</v>
      </c>
      <c r="K298" s="324" t="s">
        <v>605</v>
      </c>
      <c r="L298" s="317">
        <v>0</v>
      </c>
      <c r="M298" s="20"/>
      <c r="N298" s="11"/>
      <c r="O298" s="11"/>
      <c r="P298" s="11"/>
    </row>
    <row r="299" spans="1:16" x14ac:dyDescent="0.45">
      <c r="A299" s="637"/>
      <c r="B299" s="446">
        <f t="shared" si="43"/>
        <v>12</v>
      </c>
      <c r="C299" s="28" t="str">
        <f t="shared" si="41"/>
        <v>.bit 12</v>
      </c>
      <c r="D299" s="15" t="s">
        <v>95</v>
      </c>
      <c r="E299" s="123" t="str">
        <f t="shared" si="42"/>
        <v>0x80C</v>
      </c>
      <c r="F299" s="280" t="s">
        <v>296</v>
      </c>
      <c r="G299" s="495" t="s">
        <v>923</v>
      </c>
      <c r="H299" s="289" t="s">
        <v>923</v>
      </c>
      <c r="I299" s="565"/>
      <c r="J299" s="324" t="s">
        <v>921</v>
      </c>
      <c r="K299" s="324" t="s">
        <v>605</v>
      </c>
      <c r="L299" s="317">
        <v>0</v>
      </c>
      <c r="M299" s="15"/>
      <c r="N299" s="11"/>
      <c r="O299" s="11"/>
      <c r="P299" s="11"/>
    </row>
    <row r="300" spans="1:16" x14ac:dyDescent="0.45">
      <c r="A300" s="637"/>
      <c r="B300" s="446">
        <f t="shared" si="43"/>
        <v>13</v>
      </c>
      <c r="C300" s="28" t="str">
        <f t="shared" si="41"/>
        <v>.bit 13</v>
      </c>
      <c r="D300" s="10" t="s">
        <v>96</v>
      </c>
      <c r="E300" s="123" t="str">
        <f t="shared" si="42"/>
        <v>0x80D</v>
      </c>
      <c r="F300" s="278" t="s">
        <v>299</v>
      </c>
      <c r="G300" s="495" t="s">
        <v>923</v>
      </c>
      <c r="H300" s="289" t="s">
        <v>923</v>
      </c>
      <c r="I300" s="565"/>
      <c r="J300" s="318" t="s">
        <v>921</v>
      </c>
      <c r="K300" s="298" t="s">
        <v>605</v>
      </c>
      <c r="L300" s="317">
        <v>0</v>
      </c>
      <c r="M300" s="13"/>
      <c r="N300" s="11"/>
      <c r="O300" s="703"/>
      <c r="P300" s="82"/>
    </row>
    <row r="301" spans="1:16" x14ac:dyDescent="0.45">
      <c r="A301" s="637"/>
      <c r="B301" s="446">
        <f t="shared" si="43"/>
        <v>14</v>
      </c>
      <c r="C301" s="28" t="str">
        <f t="shared" si="41"/>
        <v>.bit 14</v>
      </c>
      <c r="D301" s="10" t="s">
        <v>97</v>
      </c>
      <c r="E301" s="123" t="str">
        <f t="shared" si="42"/>
        <v>0x80E</v>
      </c>
      <c r="F301" s="278" t="s">
        <v>298</v>
      </c>
      <c r="G301" s="495" t="s">
        <v>923</v>
      </c>
      <c r="H301" s="289" t="s">
        <v>923</v>
      </c>
      <c r="I301" s="565"/>
      <c r="J301" s="318" t="s">
        <v>921</v>
      </c>
      <c r="K301" s="324" t="s">
        <v>605</v>
      </c>
      <c r="L301" s="317">
        <v>0</v>
      </c>
      <c r="M301" s="13"/>
      <c r="N301" s="11"/>
      <c r="O301" s="703"/>
      <c r="P301" s="82"/>
    </row>
    <row r="302" spans="1:16" x14ac:dyDescent="0.45">
      <c r="A302" s="637"/>
      <c r="B302" s="447">
        <f t="shared" si="43"/>
        <v>15</v>
      </c>
      <c r="C302" s="46" t="str">
        <f t="shared" si="41"/>
        <v>.bit 15</v>
      </c>
      <c r="D302" s="78" t="s">
        <v>98</v>
      </c>
      <c r="E302" s="125" t="str">
        <f t="shared" si="42"/>
        <v>0x80F</v>
      </c>
      <c r="F302" s="278" t="s">
        <v>295</v>
      </c>
      <c r="G302" s="500" t="s">
        <v>923</v>
      </c>
      <c r="H302" s="519" t="s">
        <v>923</v>
      </c>
      <c r="I302" s="580"/>
      <c r="J302" s="213" t="s">
        <v>921</v>
      </c>
      <c r="K302" s="213" t="s">
        <v>605</v>
      </c>
      <c r="L302" s="328">
        <v>0</v>
      </c>
      <c r="M302" s="13"/>
      <c r="N302" s="11"/>
      <c r="O302" s="11"/>
      <c r="P302" s="11"/>
    </row>
    <row r="303" spans="1:16" x14ac:dyDescent="0.45">
      <c r="A303" s="637"/>
      <c r="B303" s="63" t="s">
        <v>307</v>
      </c>
      <c r="C303" s="129" t="str">
        <f>CONCATENATE("0x", DEC2HEX(1+HEX2DEC('inicio zonas'!$C$11)))</f>
        <v>0x81</v>
      </c>
      <c r="D303" s="60"/>
      <c r="E303" s="108"/>
      <c r="F303" s="116" t="s">
        <v>718</v>
      </c>
      <c r="G303" s="493" t="s">
        <v>923</v>
      </c>
      <c r="H303" s="203" t="s">
        <v>923</v>
      </c>
      <c r="I303" s="575"/>
      <c r="J303" s="205" t="s">
        <v>922</v>
      </c>
      <c r="K303" s="205" t="s">
        <v>919</v>
      </c>
      <c r="L303" s="325">
        <v>650</v>
      </c>
      <c r="M303" s="14"/>
      <c r="N303" s="12"/>
      <c r="O303" s="12"/>
      <c r="P303" s="12"/>
    </row>
    <row r="304" spans="1:16" x14ac:dyDescent="0.45">
      <c r="A304" s="637"/>
      <c r="B304" s="63" t="s">
        <v>308</v>
      </c>
      <c r="C304" s="129" t="str">
        <f>CONCATENATE("0x", DEC2HEX(2+HEX2DEC('inicio zonas'!$C$11)))</f>
        <v>0x82</v>
      </c>
      <c r="D304" s="60"/>
      <c r="E304" s="108"/>
      <c r="F304" s="111" t="s">
        <v>717</v>
      </c>
      <c r="G304" s="493" t="s">
        <v>923</v>
      </c>
      <c r="H304" s="203" t="s">
        <v>923</v>
      </c>
      <c r="I304" s="575"/>
      <c r="J304" s="205" t="s">
        <v>922</v>
      </c>
      <c r="K304" s="205" t="s">
        <v>919</v>
      </c>
      <c r="L304" s="325">
        <v>855</v>
      </c>
      <c r="M304" s="14"/>
      <c r="N304" s="12"/>
      <c r="O304" s="12"/>
      <c r="P304" s="12"/>
    </row>
    <row r="305" spans="1:16" x14ac:dyDescent="0.45">
      <c r="A305" s="637"/>
      <c r="B305" s="57" t="s">
        <v>305</v>
      </c>
      <c r="C305" s="121" t="str">
        <f>CONCATENATE("0x", DEC2HEX(3+HEX2DEC('inicio zonas'!$C$11)))</f>
        <v>0x83</v>
      </c>
      <c r="D305" s="66"/>
      <c r="E305" s="110"/>
      <c r="F305" s="111" t="s">
        <v>719</v>
      </c>
      <c r="G305" s="511" t="s">
        <v>923</v>
      </c>
      <c r="H305" s="526" t="s">
        <v>923</v>
      </c>
      <c r="I305" s="592"/>
      <c r="J305" s="205" t="s">
        <v>922</v>
      </c>
      <c r="K305" s="205" t="s">
        <v>919</v>
      </c>
      <c r="L305" s="325">
        <v>30</v>
      </c>
      <c r="M305" s="14"/>
      <c r="N305" s="12"/>
      <c r="O305" s="12"/>
      <c r="P305" s="12"/>
    </row>
    <row r="306" spans="1:16" x14ac:dyDescent="0.45">
      <c r="A306" s="637"/>
      <c r="B306" s="57" t="s">
        <v>306</v>
      </c>
      <c r="C306" s="129" t="str">
        <f>CONCATENATE("0x", DEC2HEX(4+HEX2DEC('inicio zonas'!$C$11)))</f>
        <v>0x84</v>
      </c>
      <c r="D306" s="66"/>
      <c r="E306" s="110"/>
      <c r="F306" s="283" t="s">
        <v>720</v>
      </c>
      <c r="G306" s="511" t="s">
        <v>923</v>
      </c>
      <c r="H306" s="526" t="s">
        <v>923</v>
      </c>
      <c r="I306" s="592"/>
      <c r="J306" s="205" t="s">
        <v>922</v>
      </c>
      <c r="K306" s="205" t="s">
        <v>919</v>
      </c>
      <c r="L306" s="325">
        <v>350</v>
      </c>
      <c r="M306" s="14"/>
      <c r="N306" s="12"/>
      <c r="O306" s="12"/>
      <c r="P306" s="12"/>
    </row>
    <row r="307" spans="1:16" ht="14.65" thickBot="1" x14ac:dyDescent="0.5">
      <c r="A307" s="637"/>
      <c r="B307" s="83"/>
      <c r="C307" s="143"/>
      <c r="D307" s="60"/>
      <c r="E307" s="108"/>
      <c r="F307" s="115"/>
      <c r="G307" s="329"/>
      <c r="H307" s="115"/>
      <c r="I307" s="594"/>
      <c r="J307" s="114"/>
      <c r="K307" s="114"/>
      <c r="L307" s="297"/>
      <c r="M307" s="14"/>
      <c r="N307" s="12"/>
      <c r="O307" s="12"/>
      <c r="P307" s="12"/>
    </row>
    <row r="308" spans="1:16" x14ac:dyDescent="0.45">
      <c r="A308" s="637"/>
      <c r="B308" s="43" t="s">
        <v>191</v>
      </c>
      <c r="C308" s="121" t="str">
        <f>CONCATENATE("0x", DEC2HEX(6+HEX2DEC('inicio zonas'!$C$11)))</f>
        <v>0x86</v>
      </c>
      <c r="D308" s="39"/>
      <c r="E308" s="98"/>
      <c r="F308" s="43"/>
      <c r="G308" s="509"/>
      <c r="H308" s="524"/>
      <c r="I308" s="570"/>
      <c r="J308" s="218"/>
      <c r="K308" s="218"/>
      <c r="L308" s="327"/>
      <c r="M308" s="13"/>
      <c r="N308" s="9" t="s">
        <v>70</v>
      </c>
      <c r="O308" s="8" t="str">
        <f>E309</f>
        <v>0x860</v>
      </c>
      <c r="P308" s="3" t="str">
        <f>E311</f>
        <v>0x862</v>
      </c>
    </row>
    <row r="309" spans="1:16" x14ac:dyDescent="0.45">
      <c r="A309" s="637"/>
      <c r="B309" s="44">
        <v>0</v>
      </c>
      <c r="C309" s="28" t="str">
        <f>CONCATENATE(".bit ", B309)</f>
        <v>.bit 0</v>
      </c>
      <c r="D309" s="10" t="s">
        <v>477</v>
      </c>
      <c r="E309" s="123" t="str">
        <f>CONCATENATE($C$308,DEC2HEX(B309))</f>
        <v>0x860</v>
      </c>
      <c r="F309" s="278" t="s">
        <v>266</v>
      </c>
      <c r="G309" s="495" t="s">
        <v>923</v>
      </c>
      <c r="H309" s="289" t="s">
        <v>923</v>
      </c>
      <c r="I309" s="565"/>
      <c r="J309" s="298" t="s">
        <v>922</v>
      </c>
      <c r="K309" s="298" t="s">
        <v>605</v>
      </c>
      <c r="L309" s="317">
        <v>0</v>
      </c>
      <c r="M309" s="13"/>
      <c r="N309" s="6" t="s">
        <v>72</v>
      </c>
      <c r="O309" s="4">
        <v>0</v>
      </c>
      <c r="P309" s="1">
        <v>0</v>
      </c>
    </row>
    <row r="310" spans="1:16" x14ac:dyDescent="0.45">
      <c r="A310" s="637"/>
      <c r="B310" s="44">
        <f>B309+1</f>
        <v>1</v>
      </c>
      <c r="C310" s="28" t="str">
        <f t="shared" ref="C310:C324" si="44">CONCATENATE(".bit ", B310)</f>
        <v>.bit 1</v>
      </c>
      <c r="D310" s="10"/>
      <c r="E310" s="123" t="str">
        <f t="shared" ref="E310:E324" si="45">CONCATENATE($C$308,DEC2HEX(B310))</f>
        <v>0x861</v>
      </c>
      <c r="F310" s="278"/>
      <c r="G310" s="512"/>
      <c r="H310" s="527"/>
      <c r="I310" s="568"/>
      <c r="J310" s="298"/>
      <c r="K310" s="298"/>
      <c r="L310" s="317"/>
      <c r="M310" s="13"/>
      <c r="N310" s="6" t="s">
        <v>71</v>
      </c>
      <c r="O310" s="4">
        <v>1</v>
      </c>
      <c r="P310" s="1">
        <v>0</v>
      </c>
    </row>
    <row r="311" spans="1:16" ht="14.65" thickBot="1" x14ac:dyDescent="0.5">
      <c r="A311" s="637"/>
      <c r="B311" s="44">
        <f t="shared" ref="B311:B324" si="46">B310+1</f>
        <v>2</v>
      </c>
      <c r="C311" s="28" t="str">
        <f t="shared" si="44"/>
        <v>.bit 2</v>
      </c>
      <c r="D311" s="145" t="s">
        <v>476</v>
      </c>
      <c r="E311" s="123" t="str">
        <f t="shared" si="45"/>
        <v>0x862</v>
      </c>
      <c r="F311" s="278" t="s">
        <v>266</v>
      </c>
      <c r="G311" s="495" t="s">
        <v>923</v>
      </c>
      <c r="H311" s="289" t="s">
        <v>923</v>
      </c>
      <c r="I311" s="565"/>
      <c r="J311" s="298" t="s">
        <v>922</v>
      </c>
      <c r="K311" s="298" t="s">
        <v>605</v>
      </c>
      <c r="L311" s="317">
        <v>0</v>
      </c>
      <c r="M311" s="13"/>
      <c r="N311" s="7" t="s">
        <v>75</v>
      </c>
      <c r="O311" s="5" t="s">
        <v>73</v>
      </c>
      <c r="P311" s="2">
        <v>1</v>
      </c>
    </row>
    <row r="312" spans="1:16" x14ac:dyDescent="0.45">
      <c r="A312" s="637"/>
      <c r="B312" s="44">
        <f t="shared" si="46"/>
        <v>3</v>
      </c>
      <c r="C312" s="28" t="str">
        <f t="shared" si="44"/>
        <v>.bit 3</v>
      </c>
      <c r="D312" s="10" t="s">
        <v>100</v>
      </c>
      <c r="E312" s="123" t="str">
        <f t="shared" si="45"/>
        <v>0x863</v>
      </c>
      <c r="F312" s="278" t="s">
        <v>270</v>
      </c>
      <c r="G312" s="495" t="s">
        <v>923</v>
      </c>
      <c r="H312" s="289" t="s">
        <v>923</v>
      </c>
      <c r="I312" s="565"/>
      <c r="J312" s="298" t="s">
        <v>922</v>
      </c>
      <c r="K312" s="298" t="s">
        <v>918</v>
      </c>
      <c r="L312" s="317">
        <v>1</v>
      </c>
      <c r="M312" s="13"/>
      <c r="N312" s="12"/>
      <c r="O312" s="12"/>
      <c r="P312" s="12"/>
    </row>
    <row r="313" spans="1:16" x14ac:dyDescent="0.45">
      <c r="A313" s="637"/>
      <c r="B313" s="44">
        <f t="shared" si="46"/>
        <v>4</v>
      </c>
      <c r="C313" s="28" t="str">
        <f t="shared" si="44"/>
        <v>.bit 4</v>
      </c>
      <c r="D313" s="15" t="s">
        <v>101</v>
      </c>
      <c r="E313" s="123" t="str">
        <f t="shared" si="45"/>
        <v>0x864</v>
      </c>
      <c r="F313" s="278" t="s">
        <v>77</v>
      </c>
      <c r="G313" s="495" t="s">
        <v>923</v>
      </c>
      <c r="H313" s="289" t="s">
        <v>923</v>
      </c>
      <c r="I313" s="565"/>
      <c r="J313" s="298" t="s">
        <v>922</v>
      </c>
      <c r="K313" s="298" t="s">
        <v>918</v>
      </c>
      <c r="L313" s="317">
        <v>1</v>
      </c>
      <c r="M313" s="13"/>
      <c r="N313" s="12"/>
      <c r="O313" s="12"/>
      <c r="P313" s="12"/>
    </row>
    <row r="314" spans="1:16" ht="21.75" x14ac:dyDescent="0.45">
      <c r="A314" s="637"/>
      <c r="B314" s="44">
        <f t="shared" si="46"/>
        <v>5</v>
      </c>
      <c r="C314" s="28" t="str">
        <f t="shared" si="44"/>
        <v>.bit 5</v>
      </c>
      <c r="D314" s="15" t="s">
        <v>102</v>
      </c>
      <c r="E314" s="123" t="str">
        <f t="shared" si="45"/>
        <v>0x865</v>
      </c>
      <c r="F314" s="278" t="s">
        <v>269</v>
      </c>
      <c r="G314" s="512" t="s">
        <v>923</v>
      </c>
      <c r="H314" s="527" t="s">
        <v>923</v>
      </c>
      <c r="I314" s="568"/>
      <c r="J314" s="298" t="s">
        <v>922</v>
      </c>
      <c r="K314" s="298" t="s">
        <v>918</v>
      </c>
      <c r="L314" s="330" t="s">
        <v>309</v>
      </c>
      <c r="M314" s="12"/>
      <c r="N314" s="12"/>
      <c r="O314" s="12"/>
      <c r="P314" s="12"/>
    </row>
    <row r="315" spans="1:16" x14ac:dyDescent="0.45">
      <c r="A315" s="637"/>
      <c r="B315" s="44">
        <f t="shared" si="46"/>
        <v>6</v>
      </c>
      <c r="C315" s="28" t="str">
        <f t="shared" si="44"/>
        <v>.bit 6</v>
      </c>
      <c r="D315" s="15" t="s">
        <v>103</v>
      </c>
      <c r="E315" s="123" t="str">
        <f t="shared" si="45"/>
        <v>0x866</v>
      </c>
      <c r="F315" s="278" t="s">
        <v>304</v>
      </c>
      <c r="G315" s="495" t="s">
        <v>923</v>
      </c>
      <c r="H315" s="289" t="s">
        <v>923</v>
      </c>
      <c r="I315" s="565"/>
      <c r="J315" s="298" t="s">
        <v>922</v>
      </c>
      <c r="K315" s="298" t="s">
        <v>918</v>
      </c>
      <c r="L315" s="317">
        <v>0</v>
      </c>
      <c r="M315" s="13"/>
      <c r="N315" s="12"/>
      <c r="O315" s="12"/>
      <c r="P315" s="12"/>
    </row>
    <row r="316" spans="1:16" x14ac:dyDescent="0.45">
      <c r="A316" s="637"/>
      <c r="B316" s="44">
        <f t="shared" si="46"/>
        <v>7</v>
      </c>
      <c r="C316" s="28" t="str">
        <f t="shared" si="44"/>
        <v>.bit 7</v>
      </c>
      <c r="D316" s="10" t="s">
        <v>99</v>
      </c>
      <c r="E316" s="123" t="str">
        <f t="shared" si="45"/>
        <v>0x867</v>
      </c>
      <c r="F316" s="278" t="s">
        <v>74</v>
      </c>
      <c r="G316" s="495" t="s">
        <v>923</v>
      </c>
      <c r="H316" s="289" t="s">
        <v>923</v>
      </c>
      <c r="I316" s="565"/>
      <c r="J316" s="298" t="s">
        <v>922</v>
      </c>
      <c r="K316" s="298" t="s">
        <v>918</v>
      </c>
      <c r="L316" s="317">
        <v>0</v>
      </c>
      <c r="M316" s="13"/>
      <c r="N316" s="12"/>
      <c r="O316" s="12"/>
      <c r="P316" s="12"/>
    </row>
    <row r="317" spans="1:16" x14ac:dyDescent="0.45">
      <c r="A317" s="637"/>
      <c r="B317" s="44">
        <f t="shared" si="46"/>
        <v>8</v>
      </c>
      <c r="C317" s="28" t="str">
        <f t="shared" si="44"/>
        <v>.bit 8</v>
      </c>
      <c r="D317" s="15"/>
      <c r="E317" s="123" t="str">
        <f t="shared" si="45"/>
        <v>0x868</v>
      </c>
      <c r="F317" s="278"/>
      <c r="G317" s="512"/>
      <c r="H317" s="527"/>
      <c r="I317" s="568"/>
      <c r="J317" s="324"/>
      <c r="K317" s="324"/>
      <c r="L317" s="317"/>
      <c r="M317" s="13"/>
      <c r="N317" s="12" t="s">
        <v>941</v>
      </c>
      <c r="O317" s="12"/>
      <c r="P317" s="12"/>
    </row>
    <row r="318" spans="1:16" x14ac:dyDescent="0.45">
      <c r="A318" s="637"/>
      <c r="B318" s="44">
        <f t="shared" si="46"/>
        <v>9</v>
      </c>
      <c r="C318" s="28" t="str">
        <f t="shared" si="44"/>
        <v>.bit 9</v>
      </c>
      <c r="D318" s="15" t="s">
        <v>89</v>
      </c>
      <c r="E318" s="123" t="str">
        <f t="shared" si="45"/>
        <v>0x869</v>
      </c>
      <c r="F318" s="278" t="s">
        <v>267</v>
      </c>
      <c r="G318" s="495" t="s">
        <v>923</v>
      </c>
      <c r="H318" s="289" t="s">
        <v>923</v>
      </c>
      <c r="I318" s="565"/>
      <c r="J318" s="298" t="s">
        <v>922</v>
      </c>
      <c r="K318" s="298" t="s">
        <v>918</v>
      </c>
      <c r="L318" s="317">
        <v>0</v>
      </c>
      <c r="M318" s="13"/>
      <c r="N318" s="12" t="s">
        <v>942</v>
      </c>
      <c r="O318" s="12"/>
      <c r="P318" s="12"/>
    </row>
    <row r="319" spans="1:16" x14ac:dyDescent="0.45">
      <c r="A319" s="637"/>
      <c r="B319" s="44">
        <f t="shared" si="46"/>
        <v>10</v>
      </c>
      <c r="C319" s="28" t="str">
        <f t="shared" si="44"/>
        <v>.bit 10</v>
      </c>
      <c r="D319" s="15" t="s">
        <v>90</v>
      </c>
      <c r="E319" s="123" t="str">
        <f t="shared" si="45"/>
        <v>0x86A</v>
      </c>
      <c r="F319" s="278" t="s">
        <v>268</v>
      </c>
      <c r="G319" s="495" t="s">
        <v>923</v>
      </c>
      <c r="H319" s="289" t="s">
        <v>923</v>
      </c>
      <c r="I319" s="565"/>
      <c r="J319" s="298" t="s">
        <v>922</v>
      </c>
      <c r="K319" s="298" t="s">
        <v>918</v>
      </c>
      <c r="L319" s="317">
        <v>1</v>
      </c>
      <c r="M319" s="13"/>
      <c r="N319" s="12"/>
      <c r="O319" s="12"/>
      <c r="P319" s="12"/>
    </row>
    <row r="320" spans="1:16" x14ac:dyDescent="0.45">
      <c r="A320" s="637"/>
      <c r="B320" s="446">
        <f t="shared" si="46"/>
        <v>11</v>
      </c>
      <c r="C320" s="28" t="str">
        <f t="shared" si="44"/>
        <v>.bit 11</v>
      </c>
      <c r="D320" s="15"/>
      <c r="E320" s="123" t="str">
        <f t="shared" si="45"/>
        <v>0x86B</v>
      </c>
      <c r="F320" s="278"/>
      <c r="G320" s="512"/>
      <c r="H320" s="527"/>
      <c r="I320" s="568"/>
      <c r="J320" s="324"/>
      <c r="K320" s="324"/>
      <c r="L320" s="317"/>
      <c r="M320" s="13"/>
      <c r="N320" s="12"/>
      <c r="O320" s="12"/>
      <c r="P320" s="12"/>
    </row>
    <row r="321" spans="1:18" x14ac:dyDescent="0.45">
      <c r="A321" s="637"/>
      <c r="B321" s="446">
        <f t="shared" si="46"/>
        <v>12</v>
      </c>
      <c r="C321" s="28" t="str">
        <f t="shared" si="44"/>
        <v>.bit 12</v>
      </c>
      <c r="D321" s="15" t="s">
        <v>721</v>
      </c>
      <c r="E321" s="123" t="str">
        <f t="shared" si="45"/>
        <v>0x86C</v>
      </c>
      <c r="F321" s="280" t="s">
        <v>722</v>
      </c>
      <c r="G321" s="495" t="s">
        <v>923</v>
      </c>
      <c r="H321" s="289" t="s">
        <v>923</v>
      </c>
      <c r="I321" s="565"/>
      <c r="J321" s="318" t="s">
        <v>922</v>
      </c>
      <c r="K321" s="298" t="s">
        <v>605</v>
      </c>
      <c r="L321" s="317">
        <v>1</v>
      </c>
      <c r="M321" s="15"/>
      <c r="N321" s="12"/>
      <c r="O321" s="12"/>
      <c r="P321" s="12"/>
    </row>
    <row r="322" spans="1:18" x14ac:dyDescent="0.45">
      <c r="A322" s="637"/>
      <c r="B322" s="446">
        <f t="shared" si="46"/>
        <v>13</v>
      </c>
      <c r="C322" s="28" t="str">
        <f t="shared" si="44"/>
        <v>.bit 13</v>
      </c>
      <c r="D322" s="15" t="s">
        <v>561</v>
      </c>
      <c r="E322" s="123" t="str">
        <f t="shared" si="45"/>
        <v>0x86D</v>
      </c>
      <c r="F322" s="278" t="s">
        <v>671</v>
      </c>
      <c r="G322" s="495" t="s">
        <v>923</v>
      </c>
      <c r="H322" s="289" t="s">
        <v>923</v>
      </c>
      <c r="I322" s="565"/>
      <c r="J322" s="318" t="s">
        <v>921</v>
      </c>
      <c r="K322" s="298" t="s">
        <v>605</v>
      </c>
      <c r="L322" s="317">
        <v>0</v>
      </c>
      <c r="M322" s="13"/>
      <c r="N322" s="12"/>
      <c r="O322" s="14"/>
      <c r="P322" s="35"/>
    </row>
    <row r="323" spans="1:18" x14ac:dyDescent="0.45">
      <c r="A323" s="637"/>
      <c r="B323" s="446">
        <f t="shared" si="46"/>
        <v>14</v>
      </c>
      <c r="C323" s="28" t="str">
        <f t="shared" si="44"/>
        <v>.bit 14</v>
      </c>
      <c r="D323" s="15" t="s">
        <v>463</v>
      </c>
      <c r="E323" s="123" t="str">
        <f t="shared" si="45"/>
        <v>0x86E</v>
      </c>
      <c r="F323" s="278" t="s">
        <v>464</v>
      </c>
      <c r="G323" s="495" t="s">
        <v>923</v>
      </c>
      <c r="H323" s="289" t="s">
        <v>923</v>
      </c>
      <c r="I323" s="565"/>
      <c r="J323" s="318" t="s">
        <v>921</v>
      </c>
      <c r="K323" s="324" t="s">
        <v>605</v>
      </c>
      <c r="L323" s="317">
        <v>0</v>
      </c>
      <c r="M323" s="13"/>
      <c r="N323" s="12"/>
      <c r="O323" s="14"/>
      <c r="P323" s="35"/>
    </row>
    <row r="324" spans="1:18" x14ac:dyDescent="0.45">
      <c r="A324" s="637"/>
      <c r="B324" s="447">
        <f t="shared" si="46"/>
        <v>15</v>
      </c>
      <c r="C324" s="46" t="str">
        <f t="shared" si="44"/>
        <v>.bit 15</v>
      </c>
      <c r="D324" s="80" t="s">
        <v>462</v>
      </c>
      <c r="E324" s="125" t="str">
        <f t="shared" si="45"/>
        <v>0x86F</v>
      </c>
      <c r="F324" s="102" t="s">
        <v>465</v>
      </c>
      <c r="G324" s="500" t="s">
        <v>923</v>
      </c>
      <c r="H324" s="519" t="s">
        <v>923</v>
      </c>
      <c r="I324" s="580"/>
      <c r="J324" s="213" t="s">
        <v>921</v>
      </c>
      <c r="K324" s="213" t="s">
        <v>605</v>
      </c>
      <c r="L324" s="328">
        <v>0</v>
      </c>
      <c r="M324" s="13"/>
      <c r="N324" s="12"/>
      <c r="O324" s="12"/>
      <c r="P324" s="12"/>
    </row>
    <row r="325" spans="1:18" x14ac:dyDescent="0.45">
      <c r="A325" s="637"/>
      <c r="B325" s="444" t="s">
        <v>726</v>
      </c>
      <c r="C325" s="129" t="str">
        <f>CONCATENATE("0x", DEC2HEX(7+HEX2DEC('inicio zonas'!$C$11)))</f>
        <v>0x87</v>
      </c>
      <c r="D325" s="71"/>
      <c r="E325" s="109"/>
      <c r="F325" s="76" t="s">
        <v>729</v>
      </c>
      <c r="G325" s="493" t="s">
        <v>923</v>
      </c>
      <c r="H325" s="203" t="s">
        <v>923</v>
      </c>
      <c r="I325" s="575"/>
      <c r="J325" s="205" t="s">
        <v>922</v>
      </c>
      <c r="K325" s="205" t="s">
        <v>605</v>
      </c>
      <c r="L325" s="322">
        <v>750</v>
      </c>
      <c r="M325" s="13"/>
      <c r="N325" s="11"/>
      <c r="O325" s="11"/>
      <c r="P325" s="11"/>
    </row>
    <row r="326" spans="1:18" x14ac:dyDescent="0.45">
      <c r="A326" s="637"/>
      <c r="B326" s="76" t="s">
        <v>727</v>
      </c>
      <c r="C326" s="129" t="str">
        <f>CONCATENATE("0x", DEC2HEX(8+HEX2DEC('inicio zonas'!$C$11)))</f>
        <v>0x88</v>
      </c>
      <c r="D326" s="71"/>
      <c r="E326" s="109"/>
      <c r="F326" s="76" t="s">
        <v>728</v>
      </c>
      <c r="G326" s="493" t="s">
        <v>923</v>
      </c>
      <c r="H326" s="203" t="s">
        <v>923</v>
      </c>
      <c r="I326" s="575"/>
      <c r="J326" s="205" t="s">
        <v>922</v>
      </c>
      <c r="K326" s="205" t="s">
        <v>605</v>
      </c>
      <c r="L326" s="322">
        <v>750</v>
      </c>
      <c r="M326" s="13"/>
      <c r="N326" s="11"/>
      <c r="O326" s="11"/>
      <c r="P326" s="11"/>
    </row>
    <row r="327" spans="1:18" x14ac:dyDescent="0.45">
      <c r="A327" s="637"/>
      <c r="B327" s="57" t="s">
        <v>192</v>
      </c>
      <c r="C327" s="121" t="str">
        <f>CONCATENATE("0x", DEC2HEX(9+HEX2DEC('inicio zonas'!$C$11)))</f>
        <v>0x89</v>
      </c>
      <c r="D327" s="60"/>
      <c r="E327" s="108"/>
      <c r="F327" s="57" t="s">
        <v>294</v>
      </c>
      <c r="G327" s="493" t="s">
        <v>923</v>
      </c>
      <c r="H327" s="203" t="s">
        <v>923</v>
      </c>
      <c r="I327" s="575"/>
      <c r="J327" s="205" t="s">
        <v>922</v>
      </c>
      <c r="K327" s="205" t="s">
        <v>918</v>
      </c>
      <c r="L327" s="331">
        <v>0</v>
      </c>
      <c r="M327" s="14"/>
      <c r="N327" s="11"/>
      <c r="O327" s="11"/>
      <c r="P327" s="11"/>
    </row>
    <row r="328" spans="1:18" x14ac:dyDescent="0.45">
      <c r="A328" s="637"/>
      <c r="B328" s="57" t="s">
        <v>193</v>
      </c>
      <c r="C328" s="129" t="str">
        <f>CONCATENATE("0x", DEC2HEX(10+HEX2DEC('inicio zonas'!$C$11)))</f>
        <v>0x8A</v>
      </c>
      <c r="D328" s="60"/>
      <c r="E328" s="108"/>
      <c r="F328" s="57" t="s">
        <v>92</v>
      </c>
      <c r="G328" s="493" t="s">
        <v>923</v>
      </c>
      <c r="H328" s="203" t="s">
        <v>923</v>
      </c>
      <c r="I328" s="575"/>
      <c r="J328" s="205" t="s">
        <v>922</v>
      </c>
      <c r="K328" s="205" t="s">
        <v>918</v>
      </c>
      <c r="L328" s="331">
        <v>100</v>
      </c>
      <c r="M328" s="14"/>
      <c r="N328" s="11"/>
      <c r="O328" s="11"/>
      <c r="P328" s="11"/>
    </row>
    <row r="329" spans="1:18" ht="28.5" x14ac:dyDescent="0.45">
      <c r="A329" s="637"/>
      <c r="B329" s="63" t="s">
        <v>194</v>
      </c>
      <c r="C329" s="129" t="str">
        <f>CONCATENATE("0x", DEC2HEX(11+HEX2DEC('inicio zonas'!$C$11)))</f>
        <v>0x8B</v>
      </c>
      <c r="D329" s="60"/>
      <c r="E329" s="108"/>
      <c r="F329" s="113" t="s">
        <v>301</v>
      </c>
      <c r="G329" s="493" t="s">
        <v>923</v>
      </c>
      <c r="H329" s="203" t="s">
        <v>923</v>
      </c>
      <c r="I329" s="595"/>
      <c r="J329" s="219" t="s">
        <v>922</v>
      </c>
      <c r="K329" s="205" t="s">
        <v>918</v>
      </c>
      <c r="L329" s="331">
        <v>0</v>
      </c>
      <c r="M329" s="14"/>
      <c r="N329" s="11"/>
      <c r="O329" s="11"/>
      <c r="P329" s="11"/>
    </row>
    <row r="330" spans="1:18" x14ac:dyDescent="0.45">
      <c r="A330" s="637"/>
      <c r="B330" s="57" t="s">
        <v>469</v>
      </c>
      <c r="C330" s="129" t="str">
        <f>CONCATENATE("0x", DEC2HEX(12+HEX2DEC('inicio zonas'!$C$11)))</f>
        <v>0x8C</v>
      </c>
      <c r="D330" s="60"/>
      <c r="E330" s="108"/>
      <c r="F330" s="113"/>
      <c r="G330" s="493" t="s">
        <v>923</v>
      </c>
      <c r="H330" s="203" t="s">
        <v>923</v>
      </c>
      <c r="I330" s="595"/>
      <c r="J330" s="136" t="s">
        <v>922</v>
      </c>
      <c r="K330" s="205" t="s">
        <v>918</v>
      </c>
      <c r="L330" s="331">
        <v>2</v>
      </c>
      <c r="M330" s="14"/>
      <c r="N330" s="11"/>
      <c r="O330" s="11"/>
      <c r="P330" s="11"/>
      <c r="Q330" s="11"/>
      <c r="R330" s="11"/>
    </row>
    <row r="331" spans="1:18" x14ac:dyDescent="0.45">
      <c r="A331" s="637"/>
      <c r="B331" s="57" t="s">
        <v>470</v>
      </c>
      <c r="C331" s="129" t="str">
        <f>CONCATENATE("0x", DEC2HEX(13+HEX2DEC('inicio zonas'!$C$11)))</f>
        <v>0x8D</v>
      </c>
      <c r="D331" s="60"/>
      <c r="E331" s="108"/>
      <c r="F331" s="113"/>
      <c r="G331" s="493" t="s">
        <v>923</v>
      </c>
      <c r="H331" s="203" t="s">
        <v>923</v>
      </c>
      <c r="I331" s="595"/>
      <c r="J331" s="136" t="s">
        <v>922</v>
      </c>
      <c r="K331" s="205" t="s">
        <v>918</v>
      </c>
      <c r="L331" s="331">
        <v>2</v>
      </c>
      <c r="M331" s="14"/>
      <c r="N331" s="11"/>
      <c r="O331" s="11"/>
      <c r="P331" s="11"/>
      <c r="Q331" s="11"/>
      <c r="R331" s="11"/>
    </row>
    <row r="332" spans="1:18" x14ac:dyDescent="0.45">
      <c r="A332" s="637"/>
      <c r="B332" s="63" t="s">
        <v>452</v>
      </c>
      <c r="C332" s="129" t="str">
        <f>CONCATENATE("0x", DEC2HEX(14+HEX2DEC('inicio zonas'!$C$11)))</f>
        <v>0x8E</v>
      </c>
      <c r="D332" s="60"/>
      <c r="E332" s="108"/>
      <c r="F332" s="113" t="s">
        <v>451</v>
      </c>
      <c r="G332" s="496" t="s">
        <v>924</v>
      </c>
      <c r="H332" s="207" t="s">
        <v>924</v>
      </c>
      <c r="I332" s="109"/>
      <c r="J332" s="141" t="s">
        <v>922</v>
      </c>
      <c r="K332" s="208" t="s">
        <v>919</v>
      </c>
      <c r="L332" s="301">
        <v>0</v>
      </c>
      <c r="M332" s="14"/>
      <c r="N332" s="11"/>
      <c r="O332" s="11"/>
      <c r="P332" s="11"/>
    </row>
    <row r="333" spans="1:18" x14ac:dyDescent="0.45">
      <c r="A333" s="638"/>
      <c r="B333" s="57" t="s">
        <v>461</v>
      </c>
      <c r="C333" s="129" t="str">
        <f>CONCATENATE("0x", DEC2HEX(15+HEX2DEC('inicio zonas'!$C$11)))</f>
        <v>0x8F</v>
      </c>
      <c r="D333" s="60"/>
      <c r="E333" s="108"/>
      <c r="F333" s="57" t="s">
        <v>443</v>
      </c>
      <c r="G333" s="493" t="s">
        <v>923</v>
      </c>
      <c r="H333" s="203" t="s">
        <v>923</v>
      </c>
      <c r="I333" s="595"/>
      <c r="J333" s="136" t="s">
        <v>922</v>
      </c>
      <c r="K333" s="205" t="s">
        <v>919</v>
      </c>
      <c r="L333" s="331">
        <v>100</v>
      </c>
      <c r="M333" s="14"/>
      <c r="N333" s="11"/>
      <c r="O333" s="11"/>
      <c r="P333" s="11"/>
      <c r="Q333" s="11"/>
      <c r="R333" s="11"/>
    </row>
    <row r="334" spans="1:18" x14ac:dyDescent="0.45">
      <c r="A334" s="74"/>
      <c r="B334" s="15"/>
      <c r="C334" s="139"/>
      <c r="D334" s="10"/>
      <c r="E334" s="84"/>
      <c r="F334" s="13"/>
      <c r="G334" s="512"/>
      <c r="H334" s="278"/>
      <c r="I334" s="4"/>
      <c r="J334" s="29"/>
      <c r="K334" s="29"/>
      <c r="L334" s="332"/>
      <c r="M334" s="10"/>
    </row>
    <row r="335" spans="1:18" x14ac:dyDescent="0.45">
      <c r="B335" s="119"/>
      <c r="C335" s="119"/>
      <c r="D335" s="119"/>
      <c r="E335" s="119"/>
      <c r="F335" s="119"/>
      <c r="G335" s="504"/>
      <c r="H335" s="276"/>
      <c r="I335" s="123"/>
      <c r="J335" s="120"/>
      <c r="K335" s="120"/>
      <c r="L335" s="333"/>
      <c r="M335" s="14"/>
    </row>
    <row r="336" spans="1:18" x14ac:dyDescent="0.45">
      <c r="A336" s="655" t="s">
        <v>137</v>
      </c>
      <c r="B336" s="43" t="s">
        <v>118</v>
      </c>
      <c r="C336" s="121" t="str">
        <f>CONCATENATE("0x", DEC2HEX(HEX2DEC('inicio zonas'!$C$12)))</f>
        <v>0xB0</v>
      </c>
      <c r="D336" s="39"/>
      <c r="E336" s="98"/>
      <c r="F336" s="126"/>
      <c r="G336" s="536"/>
      <c r="H336" s="537"/>
      <c r="I336" s="583"/>
      <c r="J336" s="540"/>
      <c r="K336" s="540"/>
      <c r="L336" s="306"/>
      <c r="M336" s="21"/>
    </row>
    <row r="337" spans="1:13" x14ac:dyDescent="0.45">
      <c r="A337" s="656"/>
      <c r="B337" s="44">
        <v>0</v>
      </c>
      <c r="C337" s="28" t="str">
        <f>CONCATENATE(".bit ", B337)</f>
        <v>.bit 0</v>
      </c>
      <c r="D337" s="10"/>
      <c r="E337" s="123" t="str">
        <f>CONCATENATE($C$336,DEC2HEX(B337))</f>
        <v>0xB00</v>
      </c>
      <c r="F337" s="278"/>
      <c r="G337" s="508"/>
      <c r="H337" s="414"/>
      <c r="I337" s="565"/>
      <c r="J337" s="310"/>
      <c r="K337" s="310"/>
      <c r="L337" s="316"/>
      <c r="M337" s="13"/>
    </row>
    <row r="338" spans="1:13" x14ac:dyDescent="0.45">
      <c r="A338" s="656"/>
      <c r="B338" s="44">
        <f>B337+1</f>
        <v>1</v>
      </c>
      <c r="C338" s="28" t="str">
        <f t="shared" ref="C338:C352" si="47">CONCATENATE(".bit ", B338)</f>
        <v>.bit 1</v>
      </c>
      <c r="D338" s="10"/>
      <c r="E338" s="123" t="str">
        <f t="shared" ref="E338:E352" si="48">CONCATENATE($C$336,DEC2HEX(B338))</f>
        <v>0xB01</v>
      </c>
      <c r="F338" s="278"/>
      <c r="G338" s="508"/>
      <c r="H338" s="414"/>
      <c r="I338" s="565"/>
      <c r="J338" s="310"/>
      <c r="K338" s="310"/>
      <c r="L338" s="316"/>
      <c r="M338" s="13"/>
    </row>
    <row r="339" spans="1:13" x14ac:dyDescent="0.45">
      <c r="A339" s="656"/>
      <c r="B339" s="44">
        <f t="shared" ref="B339:B352" si="49">B338+1</f>
        <v>2</v>
      </c>
      <c r="C339" s="28" t="str">
        <f t="shared" si="47"/>
        <v>.bit 2</v>
      </c>
      <c r="D339" s="10"/>
      <c r="E339" s="123" t="str">
        <f t="shared" si="48"/>
        <v>0xB02</v>
      </c>
      <c r="F339" s="276"/>
      <c r="G339" s="506"/>
      <c r="H339" s="523"/>
      <c r="I339" s="581"/>
      <c r="J339" s="310"/>
      <c r="K339" s="310"/>
      <c r="L339" s="303"/>
      <c r="M339" s="21"/>
    </row>
    <row r="340" spans="1:13" x14ac:dyDescent="0.45">
      <c r="A340" s="656"/>
      <c r="B340" s="446">
        <f t="shared" si="49"/>
        <v>3</v>
      </c>
      <c r="C340" s="28" t="str">
        <f t="shared" si="47"/>
        <v>.bit 3</v>
      </c>
      <c r="D340" s="10"/>
      <c r="E340" s="123" t="str">
        <f t="shared" si="48"/>
        <v>0xB03</v>
      </c>
      <c r="F340" s="278"/>
      <c r="G340" s="508"/>
      <c r="H340" s="414"/>
      <c r="I340" s="565"/>
      <c r="J340" s="310"/>
      <c r="K340" s="310"/>
      <c r="L340" s="316"/>
      <c r="M340" s="13"/>
    </row>
    <row r="341" spans="1:13" x14ac:dyDescent="0.45">
      <c r="A341" s="656"/>
      <c r="B341" s="446">
        <f t="shared" si="49"/>
        <v>4</v>
      </c>
      <c r="C341" s="28" t="str">
        <f t="shared" si="47"/>
        <v>.bit 4</v>
      </c>
      <c r="D341" s="15"/>
      <c r="E341" s="123" t="str">
        <f t="shared" si="48"/>
        <v>0xB04</v>
      </c>
      <c r="F341" s="278"/>
      <c r="G341" s="508"/>
      <c r="H341" s="414"/>
      <c r="I341" s="565"/>
      <c r="J341" s="310"/>
      <c r="K341" s="310"/>
      <c r="L341" s="316"/>
      <c r="M341" s="13"/>
    </row>
    <row r="342" spans="1:13" x14ac:dyDescent="0.45">
      <c r="A342" s="656"/>
      <c r="B342" s="446">
        <f t="shared" si="49"/>
        <v>5</v>
      </c>
      <c r="C342" s="28" t="str">
        <f t="shared" si="47"/>
        <v>.bit 5</v>
      </c>
      <c r="D342" s="13"/>
      <c r="E342" s="123" t="str">
        <f t="shared" si="48"/>
        <v>0xB05</v>
      </c>
      <c r="F342" s="276"/>
      <c r="G342" s="506"/>
      <c r="H342" s="523"/>
      <c r="I342" s="581"/>
      <c r="J342" s="310"/>
      <c r="K342" s="310"/>
      <c r="L342" s="303"/>
      <c r="M342" s="21"/>
    </row>
    <row r="343" spans="1:13" x14ac:dyDescent="0.45">
      <c r="A343" s="656"/>
      <c r="B343" s="446">
        <f t="shared" si="49"/>
        <v>6</v>
      </c>
      <c r="C343" s="28" t="str">
        <f t="shared" si="47"/>
        <v>.bit 6</v>
      </c>
      <c r="D343" s="13"/>
      <c r="E343" s="123" t="str">
        <f t="shared" si="48"/>
        <v>0xB06</v>
      </c>
      <c r="F343" s="276"/>
      <c r="G343" s="506"/>
      <c r="H343" s="523"/>
      <c r="I343" s="581"/>
      <c r="J343" s="310"/>
      <c r="K343" s="310"/>
      <c r="L343" s="303"/>
      <c r="M343" s="21"/>
    </row>
    <row r="344" spans="1:13" x14ac:dyDescent="0.45">
      <c r="A344" s="656"/>
      <c r="B344" s="446">
        <f t="shared" si="49"/>
        <v>7</v>
      </c>
      <c r="C344" s="28" t="str">
        <f t="shared" si="47"/>
        <v>.bit 7</v>
      </c>
      <c r="D344" s="13"/>
      <c r="E344" s="123" t="str">
        <f t="shared" si="48"/>
        <v>0xB07</v>
      </c>
      <c r="F344" s="276"/>
      <c r="G344" s="506"/>
      <c r="H344" s="523"/>
      <c r="I344" s="581"/>
      <c r="J344" s="310"/>
      <c r="K344" s="310"/>
      <c r="L344" s="303"/>
      <c r="M344" s="21"/>
    </row>
    <row r="345" spans="1:13" x14ac:dyDescent="0.45">
      <c r="A345" s="656"/>
      <c r="B345" s="446">
        <f t="shared" si="49"/>
        <v>8</v>
      </c>
      <c r="C345" s="28" t="str">
        <f t="shared" si="47"/>
        <v>.bit 8</v>
      </c>
      <c r="D345" s="15"/>
      <c r="E345" s="123" t="str">
        <f t="shared" si="48"/>
        <v>0xB08</v>
      </c>
      <c r="F345" s="276"/>
      <c r="G345" s="506"/>
      <c r="H345" s="523"/>
      <c r="I345" s="581"/>
      <c r="J345" s="310"/>
      <c r="K345" s="310"/>
      <c r="L345" s="303"/>
      <c r="M345" s="21"/>
    </row>
    <row r="346" spans="1:13" x14ac:dyDescent="0.45">
      <c r="A346" s="656"/>
      <c r="B346" s="446">
        <f t="shared" si="49"/>
        <v>9</v>
      </c>
      <c r="C346" s="28" t="str">
        <f t="shared" si="47"/>
        <v>.bit 9</v>
      </c>
      <c r="D346" s="15"/>
      <c r="E346" s="123" t="str">
        <f t="shared" si="48"/>
        <v>0xB09</v>
      </c>
      <c r="F346" s="278"/>
      <c r="G346" s="508"/>
      <c r="H346" s="414"/>
      <c r="I346" s="565"/>
      <c r="J346" s="310"/>
      <c r="K346" s="310"/>
      <c r="L346" s="316"/>
      <c r="M346" s="13"/>
    </row>
    <row r="347" spans="1:13" x14ac:dyDescent="0.45">
      <c r="A347" s="656"/>
      <c r="B347" s="446">
        <f t="shared" si="49"/>
        <v>10</v>
      </c>
      <c r="C347" s="28" t="str">
        <f t="shared" si="47"/>
        <v>.bit 10</v>
      </c>
      <c r="D347" s="15"/>
      <c r="E347" s="123" t="str">
        <f t="shared" si="48"/>
        <v>0xB0A</v>
      </c>
      <c r="F347" s="278"/>
      <c r="G347" s="508"/>
      <c r="H347" s="414"/>
      <c r="I347" s="565"/>
      <c r="J347" s="310"/>
      <c r="K347" s="310"/>
      <c r="L347" s="316"/>
      <c r="M347" s="13"/>
    </row>
    <row r="348" spans="1:13" x14ac:dyDescent="0.45">
      <c r="A348" s="656"/>
      <c r="B348" s="446">
        <f t="shared" si="49"/>
        <v>11</v>
      </c>
      <c r="C348" s="28" t="str">
        <f t="shared" si="47"/>
        <v>.bit 11</v>
      </c>
      <c r="D348" s="15" t="s">
        <v>692</v>
      </c>
      <c r="E348" s="123" t="str">
        <f t="shared" si="48"/>
        <v>0xB0B</v>
      </c>
      <c r="F348" s="276" t="s">
        <v>694</v>
      </c>
      <c r="G348" s="495" t="s">
        <v>923</v>
      </c>
      <c r="H348" s="289" t="s">
        <v>923</v>
      </c>
      <c r="I348" s="565"/>
      <c r="J348" s="324" t="s">
        <v>922</v>
      </c>
      <c r="K348" s="324" t="s">
        <v>605</v>
      </c>
      <c r="L348" s="317">
        <v>1</v>
      </c>
      <c r="M348" s="21"/>
    </row>
    <row r="349" spans="1:13" x14ac:dyDescent="0.45">
      <c r="A349" s="656"/>
      <c r="B349" s="446">
        <f t="shared" si="49"/>
        <v>12</v>
      </c>
      <c r="C349" s="28" t="str">
        <f t="shared" si="47"/>
        <v>.bit 12</v>
      </c>
      <c r="D349" s="15" t="s">
        <v>693</v>
      </c>
      <c r="E349" s="123" t="str">
        <f t="shared" si="48"/>
        <v>0xB0C</v>
      </c>
      <c r="F349" s="276" t="s">
        <v>695</v>
      </c>
      <c r="G349" s="495" t="s">
        <v>923</v>
      </c>
      <c r="H349" s="289" t="s">
        <v>923</v>
      </c>
      <c r="I349" s="565"/>
      <c r="J349" s="324" t="s">
        <v>922</v>
      </c>
      <c r="K349" s="324" t="s">
        <v>605</v>
      </c>
      <c r="L349" s="317">
        <v>1</v>
      </c>
      <c r="M349" s="21"/>
    </row>
    <row r="350" spans="1:13" x14ac:dyDescent="0.45">
      <c r="A350" s="656"/>
      <c r="B350" s="446">
        <f t="shared" si="49"/>
        <v>13</v>
      </c>
      <c r="C350" s="28" t="str">
        <f t="shared" si="47"/>
        <v>.bit 13</v>
      </c>
      <c r="D350" s="15" t="s">
        <v>497</v>
      </c>
      <c r="E350" s="123" t="str">
        <f t="shared" si="48"/>
        <v>0xB0D</v>
      </c>
      <c r="F350" s="276" t="s">
        <v>610</v>
      </c>
      <c r="G350" s="495" t="s">
        <v>923</v>
      </c>
      <c r="H350" s="289" t="s">
        <v>923</v>
      </c>
      <c r="I350" s="565"/>
      <c r="J350" s="324" t="s">
        <v>921</v>
      </c>
      <c r="K350" s="324" t="s">
        <v>605</v>
      </c>
      <c r="L350" s="317">
        <v>0</v>
      </c>
      <c r="M350" s="21"/>
    </row>
    <row r="351" spans="1:13" x14ac:dyDescent="0.45">
      <c r="A351" s="656"/>
      <c r="B351" s="446">
        <f t="shared" si="49"/>
        <v>14</v>
      </c>
      <c r="C351" s="28" t="str">
        <f t="shared" si="47"/>
        <v>.bit 14</v>
      </c>
      <c r="D351" s="15" t="s">
        <v>780</v>
      </c>
      <c r="E351" s="123" t="str">
        <f t="shared" si="48"/>
        <v>0xB0E</v>
      </c>
      <c r="F351" s="276" t="s">
        <v>781</v>
      </c>
      <c r="G351" s="495" t="s">
        <v>923</v>
      </c>
      <c r="H351" s="289" t="s">
        <v>923</v>
      </c>
      <c r="I351" s="565"/>
      <c r="J351" s="324" t="s">
        <v>921</v>
      </c>
      <c r="K351" s="324" t="s">
        <v>605</v>
      </c>
      <c r="L351" s="317">
        <v>0</v>
      </c>
      <c r="M351" s="21"/>
    </row>
    <row r="352" spans="1:13" x14ac:dyDescent="0.45">
      <c r="A352" s="656"/>
      <c r="B352" s="447">
        <f t="shared" si="49"/>
        <v>15</v>
      </c>
      <c r="C352" s="46" t="str">
        <f t="shared" si="47"/>
        <v>.bit 15</v>
      </c>
      <c r="D352" s="80" t="s">
        <v>117</v>
      </c>
      <c r="E352" s="125" t="str">
        <f t="shared" si="48"/>
        <v>0xB0F</v>
      </c>
      <c r="F352" s="133" t="s">
        <v>271</v>
      </c>
      <c r="G352" s="500" t="s">
        <v>923</v>
      </c>
      <c r="H352" s="519" t="s">
        <v>923</v>
      </c>
      <c r="I352" s="580"/>
      <c r="J352" s="213" t="s">
        <v>921</v>
      </c>
      <c r="K352" s="213" t="s">
        <v>605</v>
      </c>
      <c r="L352" s="328">
        <v>0</v>
      </c>
      <c r="M352" s="21"/>
    </row>
    <row r="353" spans="1:15" x14ac:dyDescent="0.45">
      <c r="A353" s="656"/>
      <c r="B353" s="166"/>
      <c r="C353" s="129" t="str">
        <f>CONCATENATE("0x", DEC2HEX(1+HEX2DEC('inicio zonas'!$C$12)))</f>
        <v>0xB1</v>
      </c>
      <c r="D353" s="138"/>
      <c r="E353" s="138"/>
      <c r="F353" s="137"/>
      <c r="G353" s="496"/>
      <c r="H353" s="207"/>
      <c r="I353" s="577"/>
      <c r="J353" s="208"/>
      <c r="K353" s="208"/>
      <c r="L353" s="314"/>
      <c r="M353" s="21"/>
    </row>
    <row r="354" spans="1:15" x14ac:dyDescent="0.45">
      <c r="A354" s="656"/>
      <c r="B354" s="166" t="s">
        <v>116</v>
      </c>
      <c r="C354" s="129" t="str">
        <f>CONCATENATE("0x", DEC2HEX(2+HEX2DEC('inicio zonas'!$C$12)))</f>
        <v>0xB2</v>
      </c>
      <c r="D354" s="138"/>
      <c r="E354" s="138"/>
      <c r="F354" s="137" t="s">
        <v>274</v>
      </c>
      <c r="G354" s="342" t="s">
        <v>923</v>
      </c>
      <c r="H354" s="407" t="s">
        <v>923</v>
      </c>
      <c r="I354" s="574"/>
      <c r="J354" s="205" t="s">
        <v>922</v>
      </c>
      <c r="K354" s="213" t="s">
        <v>605</v>
      </c>
      <c r="L354" s="334">
        <v>150</v>
      </c>
      <c r="M354" s="21"/>
    </row>
    <row r="355" spans="1:15" x14ac:dyDescent="0.45">
      <c r="A355" s="638"/>
      <c r="B355" s="166" t="s">
        <v>115</v>
      </c>
      <c r="C355" s="129" t="str">
        <f>CONCATENATE("0x", DEC2HEX(3+HEX2DEC('inicio zonas'!$C$12)))</f>
        <v>0xB3</v>
      </c>
      <c r="D355" s="138"/>
      <c r="E355" s="138"/>
      <c r="F355" s="137" t="s">
        <v>275</v>
      </c>
      <c r="G355" s="342" t="s">
        <v>923</v>
      </c>
      <c r="H355" s="407" t="s">
        <v>923</v>
      </c>
      <c r="I355" s="574"/>
      <c r="J355" s="205" t="s">
        <v>922</v>
      </c>
      <c r="K355" s="213" t="s">
        <v>605</v>
      </c>
      <c r="L355" s="334">
        <v>380</v>
      </c>
      <c r="M355" s="21"/>
    </row>
    <row r="356" spans="1:15" x14ac:dyDescent="0.45">
      <c r="B356" s="119"/>
      <c r="C356" s="119"/>
      <c r="D356" s="119"/>
      <c r="E356" s="119"/>
      <c r="F356" s="119"/>
      <c r="G356" s="504"/>
      <c r="H356" s="276"/>
      <c r="I356" s="123"/>
      <c r="J356" s="120"/>
      <c r="K356" s="120"/>
      <c r="L356" s="292"/>
      <c r="M356" s="21"/>
    </row>
    <row r="357" spans="1:15" x14ac:dyDescent="0.45">
      <c r="A357" s="657" t="s">
        <v>221</v>
      </c>
      <c r="B357" s="43" t="s">
        <v>222</v>
      </c>
      <c r="C357" s="121" t="str">
        <f>CONCATENATE("0x", DEC2HEX(HEX2DEC('inicio zonas'!$C$13)))</f>
        <v>0xC0</v>
      </c>
      <c r="D357" s="39"/>
      <c r="E357" s="98"/>
      <c r="F357" s="126"/>
      <c r="G357" s="536"/>
      <c r="H357" s="537"/>
      <c r="I357" s="583"/>
      <c r="J357" s="540"/>
      <c r="K357" s="540"/>
      <c r="L357" s="306"/>
      <c r="M357" s="21"/>
    </row>
    <row r="358" spans="1:15" x14ac:dyDescent="0.45">
      <c r="A358" s="658"/>
      <c r="B358" s="44">
        <v>0</v>
      </c>
      <c r="C358" s="28" t="str">
        <f>CONCATENATE(".bit ", B358)</f>
        <v>.bit 0</v>
      </c>
      <c r="D358" s="13"/>
      <c r="E358" s="123" t="str">
        <f>CONCATENATE($C$357,DEC2HEX(B358))</f>
        <v>0xC00</v>
      </c>
      <c r="F358" s="276"/>
      <c r="G358" s="508"/>
      <c r="H358" s="414"/>
      <c r="I358" s="565"/>
      <c r="J358" s="310"/>
      <c r="K358" s="310"/>
      <c r="L358" s="316"/>
      <c r="M358" s="21"/>
    </row>
    <row r="359" spans="1:15" x14ac:dyDescent="0.45">
      <c r="A359" s="658"/>
      <c r="B359" s="44">
        <f>B358+1</f>
        <v>1</v>
      </c>
      <c r="C359" s="28" t="str">
        <f t="shared" ref="C359:C373" si="50">CONCATENATE(".bit ", B359)</f>
        <v>.bit 1</v>
      </c>
      <c r="D359" s="13"/>
      <c r="E359" s="123" t="str">
        <f t="shared" ref="E359:E373" si="51">CONCATENATE($C$357,DEC2HEX(B359))</f>
        <v>0xC01</v>
      </c>
      <c r="F359" s="276"/>
      <c r="G359" s="508"/>
      <c r="H359" s="414"/>
      <c r="I359" s="565"/>
      <c r="J359" s="310"/>
      <c r="K359" s="310"/>
      <c r="L359" s="316"/>
      <c r="M359" s="21"/>
    </row>
    <row r="360" spans="1:15" x14ac:dyDescent="0.45">
      <c r="A360" s="658"/>
      <c r="B360" s="44">
        <f t="shared" ref="B360:B373" si="52">B359+1</f>
        <v>2</v>
      </c>
      <c r="C360" s="28" t="str">
        <f t="shared" si="50"/>
        <v>.bit 2</v>
      </c>
      <c r="D360" s="13"/>
      <c r="E360" s="123" t="str">
        <f t="shared" si="51"/>
        <v>0xC02</v>
      </c>
      <c r="F360" s="276"/>
      <c r="G360" s="506"/>
      <c r="H360" s="523"/>
      <c r="I360" s="581"/>
      <c r="J360" s="310"/>
      <c r="K360" s="310"/>
      <c r="L360" s="303"/>
      <c r="M360" s="21"/>
    </row>
    <row r="361" spans="1:15" x14ac:dyDescent="0.45">
      <c r="A361" s="658"/>
      <c r="B361" s="44">
        <f t="shared" si="52"/>
        <v>3</v>
      </c>
      <c r="C361" s="28" t="str">
        <f t="shared" si="50"/>
        <v>.bit 3</v>
      </c>
      <c r="D361" s="13"/>
      <c r="E361" s="123" t="str">
        <f t="shared" si="51"/>
        <v>0xC03</v>
      </c>
      <c r="F361" s="276"/>
      <c r="G361" s="508"/>
      <c r="H361" s="414"/>
      <c r="I361" s="565"/>
      <c r="J361" s="310"/>
      <c r="K361" s="310"/>
      <c r="L361" s="316"/>
      <c r="M361" s="21"/>
    </row>
    <row r="362" spans="1:15" x14ac:dyDescent="0.45">
      <c r="A362" s="658"/>
      <c r="B362" s="44">
        <f t="shared" si="52"/>
        <v>4</v>
      </c>
      <c r="C362" s="28" t="str">
        <f t="shared" si="50"/>
        <v>.bit 4</v>
      </c>
      <c r="D362" s="15"/>
      <c r="E362" s="123" t="str">
        <f t="shared" si="51"/>
        <v>0xC04</v>
      </c>
      <c r="F362" s="276"/>
      <c r="G362" s="508"/>
      <c r="H362" s="414"/>
      <c r="I362" s="565"/>
      <c r="J362" s="310"/>
      <c r="K362" s="310"/>
      <c r="L362" s="316"/>
      <c r="M362" s="21"/>
    </row>
    <row r="363" spans="1:15" x14ac:dyDescent="0.45">
      <c r="A363" s="658"/>
      <c r="B363" s="44">
        <f t="shared" si="52"/>
        <v>5</v>
      </c>
      <c r="C363" s="28" t="str">
        <f t="shared" si="50"/>
        <v>.bit 5</v>
      </c>
      <c r="D363" s="15"/>
      <c r="E363" s="123" t="str">
        <f t="shared" si="51"/>
        <v>0xC05</v>
      </c>
      <c r="F363" s="276"/>
      <c r="G363" s="506"/>
      <c r="H363" s="523"/>
      <c r="I363" s="581"/>
      <c r="J363" s="310"/>
      <c r="K363" s="310"/>
      <c r="L363" s="303"/>
      <c r="M363" s="21"/>
    </row>
    <row r="364" spans="1:15" x14ac:dyDescent="0.45">
      <c r="A364" s="658"/>
      <c r="B364" s="44">
        <f t="shared" si="52"/>
        <v>6</v>
      </c>
      <c r="C364" s="28" t="str">
        <f t="shared" si="50"/>
        <v>.bit 6</v>
      </c>
      <c r="D364" s="15"/>
      <c r="E364" s="123" t="str">
        <f t="shared" si="51"/>
        <v>0xC06</v>
      </c>
      <c r="F364" s="276"/>
      <c r="G364" s="506"/>
      <c r="H364" s="523"/>
      <c r="I364" s="581"/>
      <c r="J364" s="310"/>
      <c r="K364" s="310"/>
      <c r="L364" s="303"/>
      <c r="M364" s="21"/>
    </row>
    <row r="365" spans="1:15" x14ac:dyDescent="0.45">
      <c r="A365" s="658"/>
      <c r="B365" s="446">
        <f t="shared" si="52"/>
        <v>7</v>
      </c>
      <c r="C365" s="28" t="str">
        <f t="shared" si="50"/>
        <v>.bit 7</v>
      </c>
      <c r="D365" s="15"/>
      <c r="E365" s="123" t="str">
        <f t="shared" si="51"/>
        <v>0xC07</v>
      </c>
      <c r="F365" s="276"/>
      <c r="G365" s="506"/>
      <c r="H365" s="523"/>
      <c r="I365" s="581"/>
      <c r="J365" s="310"/>
      <c r="K365" s="310"/>
      <c r="L365" s="303"/>
      <c r="M365" s="21"/>
      <c r="O365" s="81"/>
    </row>
    <row r="366" spans="1:15" x14ac:dyDescent="0.45">
      <c r="A366" s="658"/>
      <c r="B366" s="446">
        <f t="shared" si="52"/>
        <v>8</v>
      </c>
      <c r="C366" s="28" t="str">
        <f t="shared" si="50"/>
        <v>.bit 8</v>
      </c>
      <c r="D366" s="15"/>
      <c r="E366" s="123" t="str">
        <f t="shared" si="51"/>
        <v>0xC08</v>
      </c>
      <c r="F366" s="276"/>
      <c r="G366" s="506"/>
      <c r="H366" s="523"/>
      <c r="I366" s="581"/>
      <c r="J366" s="310"/>
      <c r="K366" s="310"/>
      <c r="L366" s="303"/>
      <c r="M366" s="21"/>
      <c r="O366" s="81"/>
    </row>
    <row r="367" spans="1:15" x14ac:dyDescent="0.45">
      <c r="A367" s="658"/>
      <c r="B367" s="446">
        <f t="shared" si="52"/>
        <v>9</v>
      </c>
      <c r="C367" s="28" t="str">
        <f t="shared" si="50"/>
        <v>.bit 9</v>
      </c>
      <c r="D367" s="15"/>
      <c r="E367" s="123" t="str">
        <f t="shared" si="51"/>
        <v>0xC09</v>
      </c>
      <c r="F367" s="276"/>
      <c r="G367" s="508"/>
      <c r="H367" s="414"/>
      <c r="I367" s="565"/>
      <c r="J367" s="310"/>
      <c r="K367" s="310"/>
      <c r="L367" s="316"/>
      <c r="M367" s="21"/>
      <c r="O367" s="81"/>
    </row>
    <row r="368" spans="1:15" x14ac:dyDescent="0.45">
      <c r="A368" s="658"/>
      <c r="B368" s="446">
        <f t="shared" si="52"/>
        <v>10</v>
      </c>
      <c r="C368" s="28" t="str">
        <f t="shared" si="50"/>
        <v>.bit 10</v>
      </c>
      <c r="D368" s="15"/>
      <c r="E368" s="123" t="str">
        <f t="shared" si="51"/>
        <v>0xC0A</v>
      </c>
      <c r="F368" s="276"/>
      <c r="G368" s="508"/>
      <c r="H368" s="414"/>
      <c r="I368" s="565"/>
      <c r="J368" s="310"/>
      <c r="K368" s="310"/>
      <c r="L368" s="316"/>
      <c r="M368" s="21"/>
      <c r="O368" s="81"/>
    </row>
    <row r="369" spans="1:15" x14ac:dyDescent="0.45">
      <c r="A369" s="658"/>
      <c r="B369" s="446">
        <f t="shared" si="52"/>
        <v>11</v>
      </c>
      <c r="C369" s="28" t="str">
        <f t="shared" si="50"/>
        <v>.bit 11</v>
      </c>
      <c r="D369" s="15" t="s">
        <v>692</v>
      </c>
      <c r="E369" s="123" t="str">
        <f t="shared" si="51"/>
        <v>0xC0B</v>
      </c>
      <c r="F369" s="276" t="s">
        <v>694</v>
      </c>
      <c r="G369" s="495" t="s">
        <v>923</v>
      </c>
      <c r="H369" s="254" t="s">
        <v>924</v>
      </c>
      <c r="I369" s="258"/>
      <c r="J369" s="324" t="s">
        <v>922</v>
      </c>
      <c r="K369" s="324" t="s">
        <v>605</v>
      </c>
      <c r="L369" s="317">
        <v>1</v>
      </c>
      <c r="M369" s="21"/>
      <c r="O369" s="81"/>
    </row>
    <row r="370" spans="1:15" x14ac:dyDescent="0.45">
      <c r="A370" s="658"/>
      <c r="B370" s="446">
        <f t="shared" si="52"/>
        <v>12</v>
      </c>
      <c r="C370" s="28" t="str">
        <f t="shared" si="50"/>
        <v>.bit 12</v>
      </c>
      <c r="D370" s="15" t="s">
        <v>693</v>
      </c>
      <c r="E370" s="123" t="str">
        <f t="shared" si="51"/>
        <v>0xC0C</v>
      </c>
      <c r="F370" s="276" t="s">
        <v>695</v>
      </c>
      <c r="G370" s="495" t="s">
        <v>923</v>
      </c>
      <c r="H370" s="254" t="s">
        <v>924</v>
      </c>
      <c r="I370" s="258"/>
      <c r="J370" s="324" t="s">
        <v>922</v>
      </c>
      <c r="K370" s="324" t="s">
        <v>605</v>
      </c>
      <c r="L370" s="317">
        <v>1</v>
      </c>
      <c r="M370" s="21"/>
      <c r="O370" s="81"/>
    </row>
    <row r="371" spans="1:15" x14ac:dyDescent="0.45">
      <c r="A371" s="658"/>
      <c r="B371" s="446">
        <f t="shared" si="52"/>
        <v>13</v>
      </c>
      <c r="C371" s="28" t="str">
        <f t="shared" si="50"/>
        <v>.bit 13</v>
      </c>
      <c r="D371" s="15" t="s">
        <v>497</v>
      </c>
      <c r="E371" s="123" t="str">
        <f t="shared" si="51"/>
        <v>0xC0D</v>
      </c>
      <c r="F371" s="276" t="s">
        <v>609</v>
      </c>
      <c r="G371" s="495" t="s">
        <v>923</v>
      </c>
      <c r="H371" s="254" t="s">
        <v>924</v>
      </c>
      <c r="I371" s="258"/>
      <c r="J371" s="324" t="s">
        <v>921</v>
      </c>
      <c r="K371" s="324" t="s">
        <v>605</v>
      </c>
      <c r="L371" s="317">
        <v>0</v>
      </c>
      <c r="M371" s="21"/>
      <c r="O371" s="81"/>
    </row>
    <row r="372" spans="1:15" x14ac:dyDescent="0.45">
      <c r="A372" s="658"/>
      <c r="B372" s="446">
        <f t="shared" si="52"/>
        <v>14</v>
      </c>
      <c r="C372" s="28" t="str">
        <f t="shared" si="50"/>
        <v>.bit 14</v>
      </c>
      <c r="D372" s="15" t="s">
        <v>780</v>
      </c>
      <c r="E372" s="123" t="str">
        <f t="shared" si="51"/>
        <v>0xC0E</v>
      </c>
      <c r="F372" s="276" t="s">
        <v>781</v>
      </c>
      <c r="G372" s="495" t="s">
        <v>923</v>
      </c>
      <c r="H372" s="254" t="s">
        <v>924</v>
      </c>
      <c r="I372" s="258"/>
      <c r="J372" s="324" t="s">
        <v>921</v>
      </c>
      <c r="K372" s="324" t="s">
        <v>605</v>
      </c>
      <c r="L372" s="317">
        <v>0</v>
      </c>
      <c r="M372" s="21"/>
      <c r="O372" s="81"/>
    </row>
    <row r="373" spans="1:15" x14ac:dyDescent="0.45">
      <c r="A373" s="658"/>
      <c r="B373" s="447">
        <f t="shared" si="52"/>
        <v>15</v>
      </c>
      <c r="C373" s="46" t="str">
        <f t="shared" si="50"/>
        <v>.bit 15</v>
      </c>
      <c r="D373" s="80" t="s">
        <v>117</v>
      </c>
      <c r="E373" s="125" t="str">
        <f t="shared" si="51"/>
        <v>0xC0F</v>
      </c>
      <c r="F373" s="276" t="s">
        <v>271</v>
      </c>
      <c r="G373" s="500" t="s">
        <v>923</v>
      </c>
      <c r="H373" s="254" t="s">
        <v>924</v>
      </c>
      <c r="I373" s="258"/>
      <c r="J373" s="213" t="s">
        <v>921</v>
      </c>
      <c r="K373" s="213" t="s">
        <v>605</v>
      </c>
      <c r="L373" s="328">
        <v>0</v>
      </c>
      <c r="M373" s="21"/>
      <c r="O373" s="81"/>
    </row>
    <row r="374" spans="1:15" x14ac:dyDescent="0.45">
      <c r="A374" s="659"/>
      <c r="B374" s="484"/>
      <c r="C374" s="143" t="str">
        <f>CONCATENATE("0x", DEC2HEX(1+HEX2DEC('inicio zonas'!$C$13)))</f>
        <v>0xC1</v>
      </c>
      <c r="D374" s="68"/>
      <c r="E374" s="485"/>
      <c r="F374" s="418"/>
      <c r="G374" s="513"/>
      <c r="H374" s="224"/>
      <c r="I374" s="463"/>
      <c r="J374" s="206"/>
      <c r="K374" s="206"/>
      <c r="L374" s="307"/>
      <c r="M374" s="21"/>
      <c r="O374" s="81"/>
    </row>
    <row r="375" spans="1:15" x14ac:dyDescent="0.45">
      <c r="A375" s="658"/>
      <c r="B375" s="166" t="s">
        <v>219</v>
      </c>
      <c r="C375" s="129" t="str">
        <f>CONCATENATE("0x", DEC2HEX(2+HEX2DEC('inicio zonas'!$C$13)))</f>
        <v>0xC2</v>
      </c>
      <c r="D375" s="138"/>
      <c r="E375" s="138"/>
      <c r="F375" s="126" t="s">
        <v>276</v>
      </c>
      <c r="G375" s="342" t="s">
        <v>923</v>
      </c>
      <c r="H375" s="224" t="s">
        <v>924</v>
      </c>
      <c r="I375" s="567"/>
      <c r="J375" s="205" t="s">
        <v>922</v>
      </c>
      <c r="K375" s="457" t="s">
        <v>605</v>
      </c>
      <c r="L375" s="334">
        <v>300</v>
      </c>
      <c r="O375" s="81"/>
    </row>
    <row r="376" spans="1:15" x14ac:dyDescent="0.45">
      <c r="A376" s="660"/>
      <c r="B376" s="166" t="s">
        <v>220</v>
      </c>
      <c r="C376" s="129" t="str">
        <f>CONCATENATE("0x", DEC2HEX(3+HEX2DEC('inicio zonas'!$C$13)))</f>
        <v>0xC3</v>
      </c>
      <c r="D376" s="138"/>
      <c r="E376" s="138"/>
      <c r="F376" s="137" t="s">
        <v>277</v>
      </c>
      <c r="G376" s="342" t="s">
        <v>923</v>
      </c>
      <c r="H376" s="224" t="s">
        <v>924</v>
      </c>
      <c r="I376" s="567"/>
      <c r="J376" s="205" t="s">
        <v>922</v>
      </c>
      <c r="K376" s="213" t="s">
        <v>605</v>
      </c>
      <c r="L376" s="334">
        <v>800</v>
      </c>
      <c r="O376" s="81"/>
    </row>
    <row r="377" spans="1:15" x14ac:dyDescent="0.45">
      <c r="B377" s="119"/>
      <c r="C377" s="119"/>
      <c r="D377" s="119"/>
      <c r="E377" s="119"/>
      <c r="F377" s="119"/>
      <c r="G377" s="504"/>
      <c r="H377" s="276"/>
      <c r="I377" s="123"/>
      <c r="J377" s="120"/>
      <c r="K377" s="120"/>
      <c r="L377" s="292"/>
      <c r="M377" s="21"/>
    </row>
    <row r="378" spans="1:15" x14ac:dyDescent="0.45">
      <c r="B378" s="119"/>
      <c r="C378" s="119"/>
      <c r="D378" s="119"/>
      <c r="E378" s="119"/>
      <c r="F378" s="119"/>
      <c r="G378" s="504"/>
      <c r="H378" s="276"/>
      <c r="I378" s="123"/>
      <c r="J378" s="120"/>
      <c r="K378" s="120"/>
      <c r="L378" s="292"/>
      <c r="M378" s="21"/>
    </row>
    <row r="379" spans="1:15" x14ac:dyDescent="0.45">
      <c r="A379" s="655" t="s">
        <v>397</v>
      </c>
      <c r="B379" s="126" t="s">
        <v>419</v>
      </c>
      <c r="C379" s="121" t="str">
        <f>CONCATENATE("0x", DEC2HEX(HEX2DEC('inicio zonas'!$C$14)))</f>
        <v>0xD0</v>
      </c>
      <c r="D379" s="127"/>
      <c r="E379" s="170"/>
      <c r="F379" s="126"/>
      <c r="G379" s="536"/>
      <c r="H379" s="537"/>
      <c r="I379" s="583"/>
      <c r="J379" s="540"/>
      <c r="K379" s="540"/>
      <c r="L379" s="306"/>
      <c r="M379" s="21"/>
    </row>
    <row r="380" spans="1:15" x14ac:dyDescent="0.45">
      <c r="A380" s="656"/>
      <c r="B380" s="148">
        <v>0</v>
      </c>
      <c r="C380" s="28" t="str">
        <f>CONCATENATE(".bit ", B380)</f>
        <v>.bit 0</v>
      </c>
      <c r="D380" s="119"/>
      <c r="E380" s="158" t="str">
        <f>CONCATENATE($C$379,DEC2HEX(B380))</f>
        <v>0xD00</v>
      </c>
      <c r="F380" s="276"/>
      <c r="G380" s="508"/>
      <c r="H380" s="414"/>
      <c r="I380" s="565"/>
      <c r="J380" s="310"/>
      <c r="K380" s="310"/>
      <c r="L380" s="316"/>
      <c r="M380" s="21"/>
    </row>
    <row r="381" spans="1:15" x14ac:dyDescent="0.45">
      <c r="A381" s="656"/>
      <c r="B381" s="148">
        <f>B380+1</f>
        <v>1</v>
      </c>
      <c r="C381" s="28" t="str">
        <f t="shared" ref="C381:C395" si="53">CONCATENATE(".bit ", B381)</f>
        <v>.bit 1</v>
      </c>
      <c r="D381" s="119"/>
      <c r="E381" s="158" t="str">
        <f t="shared" ref="E381:E395" si="54">CONCATENATE($C$379,DEC2HEX(B381))</f>
        <v>0xD01</v>
      </c>
      <c r="F381" s="276"/>
      <c r="G381" s="508"/>
      <c r="H381" s="414"/>
      <c r="I381" s="565"/>
      <c r="J381" s="310"/>
      <c r="K381" s="310"/>
      <c r="L381" s="316"/>
      <c r="M381" s="21"/>
    </row>
    <row r="382" spans="1:15" x14ac:dyDescent="0.45">
      <c r="A382" s="656"/>
      <c r="B382" s="148">
        <f t="shared" ref="B382:B395" si="55">B381+1</f>
        <v>2</v>
      </c>
      <c r="C382" s="28" t="str">
        <f t="shared" si="53"/>
        <v>.bit 2</v>
      </c>
      <c r="D382" s="119"/>
      <c r="E382" s="158" t="str">
        <f t="shared" si="54"/>
        <v>0xD02</v>
      </c>
      <c r="F382" s="276"/>
      <c r="G382" s="506"/>
      <c r="H382" s="523"/>
      <c r="I382" s="581"/>
      <c r="J382" s="310"/>
      <c r="K382" s="310"/>
      <c r="L382" s="303"/>
      <c r="M382" s="21"/>
    </row>
    <row r="383" spans="1:15" x14ac:dyDescent="0.45">
      <c r="A383" s="656"/>
      <c r="B383" s="148">
        <f t="shared" si="55"/>
        <v>3</v>
      </c>
      <c r="C383" s="28" t="str">
        <f t="shared" si="53"/>
        <v>.bit 3</v>
      </c>
      <c r="D383" s="119"/>
      <c r="E383" s="158" t="str">
        <f t="shared" si="54"/>
        <v>0xD03</v>
      </c>
      <c r="F383" s="276"/>
      <c r="G383" s="508"/>
      <c r="H383" s="414"/>
      <c r="I383" s="565"/>
      <c r="J383" s="310"/>
      <c r="K383" s="310"/>
      <c r="L383" s="316"/>
      <c r="M383" s="21"/>
    </row>
    <row r="384" spans="1:15" x14ac:dyDescent="0.45">
      <c r="A384" s="656"/>
      <c r="B384" s="148">
        <f t="shared" si="55"/>
        <v>4</v>
      </c>
      <c r="C384" s="28" t="str">
        <f t="shared" si="53"/>
        <v>.bit 4</v>
      </c>
      <c r="D384" s="119"/>
      <c r="E384" s="158" t="str">
        <f t="shared" si="54"/>
        <v>0xD04</v>
      </c>
      <c r="F384" s="276"/>
      <c r="G384" s="508"/>
      <c r="H384" s="414"/>
      <c r="I384" s="565"/>
      <c r="J384" s="310"/>
      <c r="K384" s="310"/>
      <c r="L384" s="316"/>
      <c r="M384" s="21"/>
    </row>
    <row r="385" spans="1:13" x14ac:dyDescent="0.45">
      <c r="A385" s="656"/>
      <c r="B385" s="148">
        <f t="shared" si="55"/>
        <v>5</v>
      </c>
      <c r="C385" s="28" t="str">
        <f t="shared" si="53"/>
        <v>.bit 5</v>
      </c>
      <c r="D385" s="119"/>
      <c r="E385" s="158" t="str">
        <f t="shared" si="54"/>
        <v>0xD05</v>
      </c>
      <c r="F385" s="276"/>
      <c r="G385" s="506"/>
      <c r="H385" s="523"/>
      <c r="I385" s="581"/>
      <c r="J385" s="310"/>
      <c r="K385" s="310"/>
      <c r="L385" s="303"/>
      <c r="M385" s="21"/>
    </row>
    <row r="386" spans="1:13" x14ac:dyDescent="0.45">
      <c r="A386" s="656"/>
      <c r="B386" s="148">
        <f t="shared" si="55"/>
        <v>6</v>
      </c>
      <c r="C386" s="28" t="str">
        <f t="shared" si="53"/>
        <v>.bit 6</v>
      </c>
      <c r="D386" s="119"/>
      <c r="E386" s="158" t="str">
        <f t="shared" si="54"/>
        <v>0xD06</v>
      </c>
      <c r="F386" s="276"/>
      <c r="G386" s="506"/>
      <c r="H386" s="523"/>
      <c r="I386" s="581"/>
      <c r="J386" s="310"/>
      <c r="K386" s="310"/>
      <c r="L386" s="303"/>
      <c r="M386" s="21"/>
    </row>
    <row r="387" spans="1:13" x14ac:dyDescent="0.45">
      <c r="A387" s="656"/>
      <c r="B387" s="148">
        <f t="shared" si="55"/>
        <v>7</v>
      </c>
      <c r="C387" s="28" t="str">
        <f t="shared" si="53"/>
        <v>.bit 7</v>
      </c>
      <c r="D387" s="119"/>
      <c r="E387" s="158" t="str">
        <f t="shared" si="54"/>
        <v>0xD07</v>
      </c>
      <c r="F387" s="276"/>
      <c r="G387" s="506"/>
      <c r="H387" s="523"/>
      <c r="I387" s="581"/>
      <c r="J387" s="310"/>
      <c r="K387" s="310"/>
      <c r="L387" s="303"/>
      <c r="M387" s="21"/>
    </row>
    <row r="388" spans="1:13" x14ac:dyDescent="0.45">
      <c r="A388" s="656"/>
      <c r="B388" s="148">
        <f t="shared" si="55"/>
        <v>8</v>
      </c>
      <c r="C388" s="28" t="str">
        <f t="shared" si="53"/>
        <v>.bit 8</v>
      </c>
      <c r="D388" s="119"/>
      <c r="E388" s="158" t="str">
        <f t="shared" si="54"/>
        <v>0xD08</v>
      </c>
      <c r="F388" s="276"/>
      <c r="G388" s="506"/>
      <c r="H388" s="523"/>
      <c r="I388" s="581"/>
      <c r="J388" s="310"/>
      <c r="K388" s="310"/>
      <c r="L388" s="303"/>
      <c r="M388" s="21"/>
    </row>
    <row r="389" spans="1:13" x14ac:dyDescent="0.45">
      <c r="A389" s="656"/>
      <c r="B389" s="148">
        <f t="shared" si="55"/>
        <v>9</v>
      </c>
      <c r="C389" s="28" t="str">
        <f t="shared" si="53"/>
        <v>.bit 9</v>
      </c>
      <c r="D389" s="119"/>
      <c r="E389" s="158" t="str">
        <f t="shared" si="54"/>
        <v>0xD09</v>
      </c>
      <c r="F389" s="276"/>
      <c r="G389" s="508"/>
      <c r="H389" s="414"/>
      <c r="I389" s="565"/>
      <c r="J389" s="310"/>
      <c r="K389" s="310"/>
      <c r="L389" s="316"/>
      <c r="M389" s="21"/>
    </row>
    <row r="390" spans="1:13" x14ac:dyDescent="0.45">
      <c r="A390" s="656"/>
      <c r="B390" s="148">
        <f t="shared" si="55"/>
        <v>10</v>
      </c>
      <c r="C390" s="28" t="str">
        <f t="shared" si="53"/>
        <v>.bit 10</v>
      </c>
      <c r="D390" s="119"/>
      <c r="E390" s="158" t="str">
        <f t="shared" si="54"/>
        <v>0xD0A</v>
      </c>
      <c r="F390" s="276"/>
      <c r="G390" s="508"/>
      <c r="H390" s="414"/>
      <c r="I390" s="565"/>
      <c r="J390" s="310"/>
      <c r="K390" s="310"/>
      <c r="L390" s="316"/>
      <c r="M390" s="21"/>
    </row>
    <row r="391" spans="1:13" x14ac:dyDescent="0.45">
      <c r="A391" s="656"/>
      <c r="B391" s="148">
        <f t="shared" si="55"/>
        <v>11</v>
      </c>
      <c r="C391" s="28" t="str">
        <f t="shared" si="53"/>
        <v>.bit 11</v>
      </c>
      <c r="D391" s="119"/>
      <c r="E391" s="158" t="str">
        <f t="shared" si="54"/>
        <v>0xD0B</v>
      </c>
      <c r="F391" s="276"/>
      <c r="G391" s="506"/>
      <c r="H391" s="523"/>
      <c r="I391" s="581"/>
      <c r="J391" s="310"/>
      <c r="K391" s="310"/>
      <c r="L391" s="303"/>
      <c r="M391" s="21"/>
    </row>
    <row r="392" spans="1:13" x14ac:dyDescent="0.45">
      <c r="A392" s="656"/>
      <c r="B392" s="148">
        <f t="shared" si="55"/>
        <v>12</v>
      </c>
      <c r="C392" s="28" t="str">
        <f t="shared" si="53"/>
        <v>.bit 12</v>
      </c>
      <c r="D392" s="119"/>
      <c r="E392" s="158" t="str">
        <f t="shared" si="54"/>
        <v>0xD0C</v>
      </c>
      <c r="F392" s="276"/>
      <c r="G392" s="506"/>
      <c r="H392" s="523"/>
      <c r="I392" s="581"/>
      <c r="J392" s="310"/>
      <c r="K392" s="310"/>
      <c r="L392" s="303"/>
      <c r="M392" s="21"/>
    </row>
    <row r="393" spans="1:13" x14ac:dyDescent="0.45">
      <c r="A393" s="656"/>
      <c r="B393" s="148">
        <f t="shared" si="55"/>
        <v>13</v>
      </c>
      <c r="C393" s="28" t="str">
        <f t="shared" si="53"/>
        <v>.bit 13</v>
      </c>
      <c r="D393" s="119"/>
      <c r="E393" s="158" t="str">
        <f t="shared" si="54"/>
        <v>0xD0D</v>
      </c>
      <c r="F393" s="276"/>
      <c r="G393" s="495"/>
      <c r="H393" s="289"/>
      <c r="I393" s="565"/>
      <c r="J393" s="289"/>
      <c r="K393" s="289"/>
      <c r="L393" s="316"/>
      <c r="M393" s="21"/>
    </row>
    <row r="394" spans="1:13" x14ac:dyDescent="0.45">
      <c r="A394" s="656"/>
      <c r="B394" s="148">
        <f t="shared" si="55"/>
        <v>14</v>
      </c>
      <c r="C394" s="28" t="str">
        <f t="shared" si="53"/>
        <v>.bit 14</v>
      </c>
      <c r="D394" s="119"/>
      <c r="E394" s="158" t="str">
        <f t="shared" si="54"/>
        <v>0xD0E</v>
      </c>
      <c r="F394" s="276"/>
      <c r="G394" s="506"/>
      <c r="H394" s="523"/>
      <c r="I394" s="581"/>
      <c r="J394" s="310"/>
      <c r="K394" s="310"/>
      <c r="L394" s="303"/>
      <c r="M394" s="21"/>
    </row>
    <row r="395" spans="1:13" x14ac:dyDescent="0.45">
      <c r="A395" s="638"/>
      <c r="B395" s="45">
        <f t="shared" si="55"/>
        <v>15</v>
      </c>
      <c r="C395" s="46" t="str">
        <f t="shared" si="53"/>
        <v>.bit 15</v>
      </c>
      <c r="D395" s="131" t="s">
        <v>403</v>
      </c>
      <c r="E395" s="159" t="str">
        <f t="shared" si="54"/>
        <v>0xD0F</v>
      </c>
      <c r="F395" s="133" t="s">
        <v>917</v>
      </c>
      <c r="G395" s="500" t="s">
        <v>923</v>
      </c>
      <c r="H395" s="519" t="s">
        <v>923</v>
      </c>
      <c r="I395" s="580"/>
      <c r="J395" s="213" t="s">
        <v>921</v>
      </c>
      <c r="K395" s="213" t="s">
        <v>605</v>
      </c>
      <c r="L395" s="328">
        <v>0</v>
      </c>
      <c r="M395" s="21"/>
    </row>
    <row r="396" spans="1:13" x14ac:dyDescent="0.45">
      <c r="B396" s="27"/>
      <c r="C396" s="28"/>
      <c r="D396" s="119"/>
      <c r="E396" s="123"/>
      <c r="F396" s="119"/>
      <c r="G396" s="504"/>
      <c r="H396" s="276"/>
      <c r="I396" s="123"/>
      <c r="J396" s="120"/>
      <c r="K396" s="120"/>
      <c r="L396" s="292"/>
      <c r="M396" s="21"/>
    </row>
    <row r="397" spans="1:13" x14ac:dyDescent="0.45">
      <c r="G397" s="504"/>
      <c r="H397" s="276"/>
      <c r="I397" s="123"/>
      <c r="J397" s="120"/>
      <c r="K397" s="120"/>
      <c r="L397" s="292"/>
    </row>
    <row r="398" spans="1:13" x14ac:dyDescent="0.45">
      <c r="G398" s="504"/>
      <c r="H398" s="276"/>
      <c r="I398" s="123"/>
      <c r="J398" s="120"/>
      <c r="K398" s="120"/>
      <c r="L398" s="292"/>
    </row>
    <row r="399" spans="1:13" x14ac:dyDescent="0.45">
      <c r="A399" s="661" t="s">
        <v>346</v>
      </c>
      <c r="B399" s="137" t="s">
        <v>138</v>
      </c>
      <c r="C399" s="129" t="str">
        <f>CONCATENATE("0x", DEC2HEX(HEX2DEC('inicio zonas'!$C$16)))</f>
        <v>0xF0</v>
      </c>
      <c r="D399" s="138"/>
      <c r="E399" s="168"/>
      <c r="F399" s="76" t="s">
        <v>139</v>
      </c>
      <c r="G399" s="342" t="s">
        <v>923</v>
      </c>
      <c r="H399" s="407" t="s">
        <v>923</v>
      </c>
      <c r="I399" s="574"/>
      <c r="J399" s="205" t="s">
        <v>922</v>
      </c>
      <c r="K399" s="205" t="s">
        <v>605</v>
      </c>
      <c r="L399" s="334">
        <v>0</v>
      </c>
    </row>
    <row r="400" spans="1:13" x14ac:dyDescent="0.45">
      <c r="A400" s="706"/>
      <c r="B400" s="166" t="s">
        <v>140</v>
      </c>
      <c r="C400" s="129" t="str">
        <f>CONCATENATE("0x", DEC2HEX(1+HEX2DEC('inicio zonas'!$C$16)))</f>
        <v>0xF1</v>
      </c>
      <c r="D400" s="138"/>
      <c r="E400" s="168"/>
      <c r="F400" s="76" t="s">
        <v>141</v>
      </c>
      <c r="G400" s="342" t="s">
        <v>923</v>
      </c>
      <c r="H400" s="407" t="s">
        <v>923</v>
      </c>
      <c r="I400" s="574"/>
      <c r="J400" s="205" t="s">
        <v>922</v>
      </c>
      <c r="K400" s="205" t="s">
        <v>605</v>
      </c>
      <c r="L400" s="334">
        <v>0</v>
      </c>
    </row>
    <row r="401" spans="1:12" x14ac:dyDescent="0.45">
      <c r="A401" s="662"/>
      <c r="B401" s="166" t="s">
        <v>142</v>
      </c>
      <c r="C401" s="129" t="str">
        <f>CONCATENATE("0x", DEC2HEX(2+HEX2DEC('inicio zonas'!$C$16)))</f>
        <v>0xF2</v>
      </c>
      <c r="D401" s="138"/>
      <c r="E401" s="168"/>
      <c r="F401" s="76" t="s">
        <v>143</v>
      </c>
      <c r="G401" s="342" t="s">
        <v>923</v>
      </c>
      <c r="H401" s="407" t="s">
        <v>923</v>
      </c>
      <c r="I401" s="574"/>
      <c r="J401" s="205" t="s">
        <v>922</v>
      </c>
      <c r="K401" s="205" t="s">
        <v>605</v>
      </c>
      <c r="L401" s="334">
        <v>0</v>
      </c>
    </row>
    <row r="402" spans="1:12" x14ac:dyDescent="0.45">
      <c r="B402" s="12"/>
      <c r="G402" s="504"/>
      <c r="H402" s="276"/>
      <c r="I402" s="123"/>
      <c r="J402" s="120"/>
      <c r="K402" s="120"/>
      <c r="L402" s="292"/>
    </row>
    <row r="403" spans="1:12" x14ac:dyDescent="0.45">
      <c r="G403" s="504"/>
      <c r="H403" s="276"/>
      <c r="I403" s="123"/>
      <c r="J403" s="120"/>
      <c r="K403" s="120"/>
      <c r="L403" s="292"/>
    </row>
    <row r="404" spans="1:12" ht="15" customHeight="1" x14ac:dyDescent="0.45">
      <c r="A404" s="686" t="s">
        <v>343</v>
      </c>
      <c r="B404" s="43" t="s">
        <v>355</v>
      </c>
      <c r="C404" s="121" t="str">
        <f>CONCATENATE("0x", DEC2HEX(HEX2DEC('inicio zonas'!$C$18)))</f>
        <v>0x110</v>
      </c>
      <c r="D404" s="105"/>
      <c r="E404" s="169"/>
      <c r="F404" s="126"/>
      <c r="G404" s="501"/>
      <c r="H404" s="408"/>
      <c r="I404" s="572"/>
      <c r="J404" s="216"/>
      <c r="K404" s="216"/>
      <c r="L404" s="312"/>
    </row>
    <row r="405" spans="1:12" x14ac:dyDescent="0.45">
      <c r="A405" s="687"/>
      <c r="B405" s="148">
        <v>0</v>
      </c>
      <c r="C405" s="28" t="str">
        <f>CONCATENATE(".bit ", B405)</f>
        <v>.bit 0</v>
      </c>
      <c r="D405" s="677" t="s">
        <v>348</v>
      </c>
      <c r="E405" s="158" t="str">
        <f>CONCATENATE($C$404,DEC2HEX(B405))</f>
        <v>0x1100</v>
      </c>
      <c r="F405" s="665" t="s">
        <v>367</v>
      </c>
      <c r="G405" s="666" t="s">
        <v>923</v>
      </c>
      <c r="H405" s="669" t="s">
        <v>923</v>
      </c>
      <c r="I405" s="488"/>
      <c r="J405" s="669" t="s">
        <v>922</v>
      </c>
      <c r="K405" s="668" t="s">
        <v>605</v>
      </c>
      <c r="L405" s="667">
        <v>0</v>
      </c>
    </row>
    <row r="406" spans="1:12" x14ac:dyDescent="0.45">
      <c r="A406" s="687"/>
      <c r="B406" s="148">
        <f>B405+1</f>
        <v>1</v>
      </c>
      <c r="C406" s="28" t="str">
        <f t="shared" ref="C406:C420" si="56">CONCATENATE(".bit ", B406)</f>
        <v>.bit 1</v>
      </c>
      <c r="D406" s="677"/>
      <c r="E406" s="158" t="str">
        <f t="shared" ref="E406:E420" si="57">CONCATENATE($C$404,DEC2HEX(B406))</f>
        <v>0x1101</v>
      </c>
      <c r="F406" s="665"/>
      <c r="G406" s="666"/>
      <c r="H406" s="669"/>
      <c r="I406" s="488"/>
      <c r="J406" s="669"/>
      <c r="K406" s="668"/>
      <c r="L406" s="667"/>
    </row>
    <row r="407" spans="1:12" x14ac:dyDescent="0.45">
      <c r="A407" s="687"/>
      <c r="B407" s="148">
        <f t="shared" ref="B407:B420" si="58">B406+1</f>
        <v>2</v>
      </c>
      <c r="C407" s="28" t="str">
        <f t="shared" si="56"/>
        <v>.bit 2</v>
      </c>
      <c r="D407" s="677"/>
      <c r="E407" s="158" t="str">
        <f t="shared" si="57"/>
        <v>0x1102</v>
      </c>
      <c r="F407" s="665"/>
      <c r="G407" s="666"/>
      <c r="H407" s="669"/>
      <c r="I407" s="488"/>
      <c r="J407" s="669"/>
      <c r="K407" s="668"/>
      <c r="L407" s="667"/>
    </row>
    <row r="408" spans="1:12" x14ac:dyDescent="0.45">
      <c r="A408" s="687"/>
      <c r="B408" s="148">
        <f t="shared" si="58"/>
        <v>3</v>
      </c>
      <c r="C408" s="28" t="str">
        <f t="shared" si="56"/>
        <v>.bit 3</v>
      </c>
      <c r="D408" s="677"/>
      <c r="E408" s="158" t="str">
        <f t="shared" si="57"/>
        <v>0x1103</v>
      </c>
      <c r="F408" s="665"/>
      <c r="G408" s="666"/>
      <c r="H408" s="669"/>
      <c r="I408" s="488"/>
      <c r="J408" s="669"/>
      <c r="K408" s="668"/>
      <c r="L408" s="667"/>
    </row>
    <row r="409" spans="1:12" x14ac:dyDescent="0.45">
      <c r="A409" s="687"/>
      <c r="B409" s="148">
        <f t="shared" si="58"/>
        <v>4</v>
      </c>
      <c r="C409" s="28" t="str">
        <f t="shared" si="56"/>
        <v>.bit 4</v>
      </c>
      <c r="D409" s="677" t="s">
        <v>349</v>
      </c>
      <c r="E409" s="158" t="str">
        <f t="shared" si="57"/>
        <v>0x1104</v>
      </c>
      <c r="F409" s="665" t="s">
        <v>368</v>
      </c>
      <c r="G409" s="666" t="s">
        <v>923</v>
      </c>
      <c r="H409" s="669" t="s">
        <v>923</v>
      </c>
      <c r="I409" s="488"/>
      <c r="J409" s="669" t="s">
        <v>922</v>
      </c>
      <c r="K409" s="668" t="s">
        <v>605</v>
      </c>
      <c r="L409" s="667">
        <v>0</v>
      </c>
    </row>
    <row r="410" spans="1:12" x14ac:dyDescent="0.45">
      <c r="A410" s="687"/>
      <c r="B410" s="148">
        <f t="shared" si="58"/>
        <v>5</v>
      </c>
      <c r="C410" s="28" t="str">
        <f t="shared" si="56"/>
        <v>.bit 5</v>
      </c>
      <c r="D410" s="677"/>
      <c r="E410" s="158" t="str">
        <f t="shared" si="57"/>
        <v>0x1105</v>
      </c>
      <c r="F410" s="665"/>
      <c r="G410" s="666"/>
      <c r="H410" s="669"/>
      <c r="I410" s="488"/>
      <c r="J410" s="669"/>
      <c r="K410" s="668"/>
      <c r="L410" s="667"/>
    </row>
    <row r="411" spans="1:12" x14ac:dyDescent="0.45">
      <c r="A411" s="687"/>
      <c r="B411" s="148">
        <f t="shared" si="58"/>
        <v>6</v>
      </c>
      <c r="C411" s="28" t="str">
        <f t="shared" si="56"/>
        <v>.bit 6</v>
      </c>
      <c r="D411" s="677"/>
      <c r="E411" s="158" t="str">
        <f t="shared" si="57"/>
        <v>0x1106</v>
      </c>
      <c r="F411" s="665"/>
      <c r="G411" s="666"/>
      <c r="H411" s="669"/>
      <c r="I411" s="488"/>
      <c r="J411" s="669"/>
      <c r="K411" s="668"/>
      <c r="L411" s="667"/>
    </row>
    <row r="412" spans="1:12" x14ac:dyDescent="0.45">
      <c r="A412" s="687"/>
      <c r="B412" s="148">
        <f t="shared" si="58"/>
        <v>7</v>
      </c>
      <c r="C412" s="28" t="str">
        <f t="shared" si="56"/>
        <v>.bit 7</v>
      </c>
      <c r="D412" s="677"/>
      <c r="E412" s="158" t="str">
        <f t="shared" si="57"/>
        <v>0x1107</v>
      </c>
      <c r="F412" s="665"/>
      <c r="G412" s="666"/>
      <c r="H412" s="669"/>
      <c r="I412" s="488"/>
      <c r="J412" s="669"/>
      <c r="K412" s="668"/>
      <c r="L412" s="667"/>
    </row>
    <row r="413" spans="1:12" x14ac:dyDescent="0.45">
      <c r="A413" s="687"/>
      <c r="B413" s="148">
        <f t="shared" si="58"/>
        <v>8</v>
      </c>
      <c r="C413" s="28" t="str">
        <f t="shared" si="56"/>
        <v>.bit 8</v>
      </c>
      <c r="D413" s="677" t="s">
        <v>350</v>
      </c>
      <c r="E413" s="158" t="str">
        <f t="shared" si="57"/>
        <v>0x1108</v>
      </c>
      <c r="F413" s="665" t="s">
        <v>369</v>
      </c>
      <c r="G413" s="666" t="s">
        <v>923</v>
      </c>
      <c r="H413" s="669" t="s">
        <v>923</v>
      </c>
      <c r="I413" s="488"/>
      <c r="J413" s="669" t="s">
        <v>922</v>
      </c>
      <c r="K413" s="668" t="s">
        <v>605</v>
      </c>
      <c r="L413" s="667">
        <v>0</v>
      </c>
    </row>
    <row r="414" spans="1:12" x14ac:dyDescent="0.45">
      <c r="A414" s="687"/>
      <c r="B414" s="148">
        <f t="shared" si="58"/>
        <v>9</v>
      </c>
      <c r="C414" s="28" t="str">
        <f t="shared" si="56"/>
        <v>.bit 9</v>
      </c>
      <c r="D414" s="677"/>
      <c r="E414" s="158" t="str">
        <f t="shared" si="57"/>
        <v>0x1109</v>
      </c>
      <c r="F414" s="665"/>
      <c r="G414" s="666"/>
      <c r="H414" s="669"/>
      <c r="I414" s="488"/>
      <c r="J414" s="669"/>
      <c r="K414" s="668"/>
      <c r="L414" s="667"/>
    </row>
    <row r="415" spans="1:12" x14ac:dyDescent="0.45">
      <c r="A415" s="687"/>
      <c r="B415" s="148">
        <f t="shared" si="58"/>
        <v>10</v>
      </c>
      <c r="C415" s="28" t="str">
        <f t="shared" si="56"/>
        <v>.bit 10</v>
      </c>
      <c r="D415" s="677"/>
      <c r="E415" s="158" t="str">
        <f t="shared" si="57"/>
        <v>0x110A</v>
      </c>
      <c r="F415" s="665"/>
      <c r="G415" s="666"/>
      <c r="H415" s="669"/>
      <c r="I415" s="488"/>
      <c r="J415" s="669"/>
      <c r="K415" s="668"/>
      <c r="L415" s="667"/>
    </row>
    <row r="416" spans="1:12" x14ac:dyDescent="0.45">
      <c r="A416" s="687"/>
      <c r="B416" s="148">
        <f t="shared" si="58"/>
        <v>11</v>
      </c>
      <c r="C416" s="28" t="str">
        <f t="shared" si="56"/>
        <v>.bit 11</v>
      </c>
      <c r="D416" s="677"/>
      <c r="E416" s="158" t="str">
        <f t="shared" si="57"/>
        <v>0x110B</v>
      </c>
      <c r="F416" s="665"/>
      <c r="G416" s="666"/>
      <c r="H416" s="669"/>
      <c r="I416" s="488"/>
      <c r="J416" s="669"/>
      <c r="K416" s="668"/>
      <c r="L416" s="667"/>
    </row>
    <row r="417" spans="1:12" x14ac:dyDescent="0.45">
      <c r="A417" s="687"/>
      <c r="B417" s="148">
        <f t="shared" si="58"/>
        <v>12</v>
      </c>
      <c r="C417" s="28" t="str">
        <f t="shared" si="56"/>
        <v>.bit 12</v>
      </c>
      <c r="D417" s="173"/>
      <c r="E417" s="158" t="str">
        <f t="shared" si="57"/>
        <v>0x110C</v>
      </c>
      <c r="F417" s="276"/>
      <c r="G417" s="504"/>
      <c r="H417" s="409"/>
      <c r="I417" s="563"/>
      <c r="J417" s="298"/>
      <c r="K417" s="298"/>
      <c r="L417" s="313"/>
    </row>
    <row r="418" spans="1:12" x14ac:dyDescent="0.45">
      <c r="A418" s="687"/>
      <c r="B418" s="148">
        <f t="shared" si="58"/>
        <v>13</v>
      </c>
      <c r="C418" s="28" t="str">
        <f t="shared" si="56"/>
        <v>.bit 13</v>
      </c>
      <c r="D418" s="173"/>
      <c r="E418" s="158" t="str">
        <f t="shared" si="57"/>
        <v>0x110D</v>
      </c>
      <c r="F418" s="276"/>
      <c r="G418" s="504"/>
      <c r="H418" s="409"/>
      <c r="I418" s="563"/>
      <c r="J418" s="298"/>
      <c r="K418" s="298"/>
      <c r="L418" s="313"/>
    </row>
    <row r="419" spans="1:12" x14ac:dyDescent="0.45">
      <c r="A419" s="687"/>
      <c r="B419" s="148">
        <f t="shared" si="58"/>
        <v>14</v>
      </c>
      <c r="C419" s="28" t="str">
        <f t="shared" si="56"/>
        <v>.bit 14</v>
      </c>
      <c r="D419" s="97" t="s">
        <v>145</v>
      </c>
      <c r="E419" s="158" t="str">
        <f t="shared" si="57"/>
        <v>0x110E</v>
      </c>
      <c r="F419" s="276" t="s">
        <v>358</v>
      </c>
      <c r="G419" s="504" t="s">
        <v>923</v>
      </c>
      <c r="H419" s="409" t="s">
        <v>923</v>
      </c>
      <c r="I419" s="563"/>
      <c r="J419" s="298" t="s">
        <v>922</v>
      </c>
      <c r="K419" s="298" t="s">
        <v>605</v>
      </c>
      <c r="L419" s="313">
        <v>0</v>
      </c>
    </row>
    <row r="420" spans="1:12" x14ac:dyDescent="0.45">
      <c r="A420" s="687"/>
      <c r="B420" s="45">
        <f t="shared" si="58"/>
        <v>15</v>
      </c>
      <c r="C420" s="46" t="str">
        <f t="shared" si="56"/>
        <v>.bit 15</v>
      </c>
      <c r="D420" s="174" t="s">
        <v>144</v>
      </c>
      <c r="E420" s="159" t="str">
        <f t="shared" si="57"/>
        <v>0x110F</v>
      </c>
      <c r="F420" s="133" t="s">
        <v>357</v>
      </c>
      <c r="G420" s="514" t="s">
        <v>923</v>
      </c>
      <c r="H420" s="376" t="s">
        <v>923</v>
      </c>
      <c r="I420" s="596"/>
      <c r="J420" s="212" t="s">
        <v>922</v>
      </c>
      <c r="K420" s="212" t="s">
        <v>605</v>
      </c>
      <c r="L420" s="335">
        <v>0</v>
      </c>
    </row>
    <row r="421" spans="1:12" x14ac:dyDescent="0.45">
      <c r="A421" s="687"/>
      <c r="B421" s="43" t="s">
        <v>356</v>
      </c>
      <c r="C421" s="121" t="str">
        <f>CONCATENATE("0x", DEC2HEX(1+HEX2DEC('inicio zonas'!$C$18)))</f>
        <v>0x111</v>
      </c>
      <c r="D421" s="105"/>
      <c r="E421" s="169"/>
      <c r="F421" s="126"/>
      <c r="G421" s="501"/>
      <c r="H421" s="408"/>
      <c r="I421" s="572"/>
      <c r="J421" s="216"/>
      <c r="K421" s="216"/>
      <c r="L421" s="312"/>
    </row>
    <row r="422" spans="1:12" x14ac:dyDescent="0.45">
      <c r="A422" s="687"/>
      <c r="B422" s="148">
        <v>0</v>
      </c>
      <c r="C422" s="28" t="str">
        <f>CONCATENATE(".bit ", B422)</f>
        <v>.bit 0</v>
      </c>
      <c r="D422" s="677" t="s">
        <v>351</v>
      </c>
      <c r="E422" s="158" t="str">
        <f>CONCATENATE($C$421,DEC2HEX(B422))</f>
        <v>0x1110</v>
      </c>
      <c r="F422" s="665" t="s">
        <v>370</v>
      </c>
      <c r="G422" s="666" t="s">
        <v>923</v>
      </c>
      <c r="H422" s="669" t="s">
        <v>923</v>
      </c>
      <c r="I422" s="488"/>
      <c r="J422" s="669" t="s">
        <v>922</v>
      </c>
      <c r="K422" s="668" t="s">
        <v>605</v>
      </c>
      <c r="L422" s="667">
        <v>0</v>
      </c>
    </row>
    <row r="423" spans="1:12" x14ac:dyDescent="0.45">
      <c r="A423" s="687"/>
      <c r="B423" s="148">
        <f>B422+1</f>
        <v>1</v>
      </c>
      <c r="C423" s="28" t="str">
        <f t="shared" ref="C423:C437" si="59">CONCATENATE(".bit ", B423)</f>
        <v>.bit 1</v>
      </c>
      <c r="D423" s="677"/>
      <c r="E423" s="158" t="str">
        <f t="shared" ref="E423:E437" si="60">CONCATENATE($C$421,DEC2HEX(B423))</f>
        <v>0x1111</v>
      </c>
      <c r="F423" s="665"/>
      <c r="G423" s="666"/>
      <c r="H423" s="669"/>
      <c r="I423" s="488"/>
      <c r="J423" s="669"/>
      <c r="K423" s="668"/>
      <c r="L423" s="667"/>
    </row>
    <row r="424" spans="1:12" x14ac:dyDescent="0.45">
      <c r="A424" s="687"/>
      <c r="B424" s="148">
        <f t="shared" ref="B424:B437" si="61">B423+1</f>
        <v>2</v>
      </c>
      <c r="C424" s="28" t="str">
        <f t="shared" si="59"/>
        <v>.bit 2</v>
      </c>
      <c r="D424" s="677"/>
      <c r="E424" s="158" t="str">
        <f t="shared" si="60"/>
        <v>0x1112</v>
      </c>
      <c r="F424" s="665"/>
      <c r="G424" s="666"/>
      <c r="H424" s="669"/>
      <c r="I424" s="488"/>
      <c r="J424" s="669"/>
      <c r="K424" s="668"/>
      <c r="L424" s="667"/>
    </row>
    <row r="425" spans="1:12" x14ac:dyDescent="0.45">
      <c r="A425" s="687"/>
      <c r="B425" s="148">
        <f t="shared" si="61"/>
        <v>3</v>
      </c>
      <c r="C425" s="28" t="str">
        <f t="shared" si="59"/>
        <v>.bit 3</v>
      </c>
      <c r="D425" s="677"/>
      <c r="E425" s="158" t="str">
        <f t="shared" si="60"/>
        <v>0x1113</v>
      </c>
      <c r="F425" s="665"/>
      <c r="G425" s="666"/>
      <c r="H425" s="669"/>
      <c r="I425" s="488"/>
      <c r="J425" s="669"/>
      <c r="K425" s="668"/>
      <c r="L425" s="667"/>
    </row>
    <row r="426" spans="1:12" x14ac:dyDescent="0.45">
      <c r="A426" s="687"/>
      <c r="B426" s="148">
        <f t="shared" si="61"/>
        <v>4</v>
      </c>
      <c r="C426" s="28" t="str">
        <f t="shared" si="59"/>
        <v>.bit 4</v>
      </c>
      <c r="D426" s="677" t="s">
        <v>352</v>
      </c>
      <c r="E426" s="158" t="str">
        <f t="shared" si="60"/>
        <v>0x1114</v>
      </c>
      <c r="F426" s="665" t="s">
        <v>371</v>
      </c>
      <c r="G426" s="666" t="s">
        <v>923</v>
      </c>
      <c r="H426" s="669" t="s">
        <v>923</v>
      </c>
      <c r="I426" s="488"/>
      <c r="J426" s="669" t="s">
        <v>922</v>
      </c>
      <c r="K426" s="668" t="s">
        <v>605</v>
      </c>
      <c r="L426" s="667">
        <v>0</v>
      </c>
    </row>
    <row r="427" spans="1:12" x14ac:dyDescent="0.45">
      <c r="A427" s="687"/>
      <c r="B427" s="148">
        <f t="shared" si="61"/>
        <v>5</v>
      </c>
      <c r="C427" s="28" t="str">
        <f t="shared" si="59"/>
        <v>.bit 5</v>
      </c>
      <c r="D427" s="677"/>
      <c r="E427" s="158" t="str">
        <f t="shared" si="60"/>
        <v>0x1115</v>
      </c>
      <c r="F427" s="665"/>
      <c r="G427" s="666"/>
      <c r="H427" s="669"/>
      <c r="I427" s="488"/>
      <c r="J427" s="669"/>
      <c r="K427" s="668"/>
      <c r="L427" s="667"/>
    </row>
    <row r="428" spans="1:12" x14ac:dyDescent="0.45">
      <c r="A428" s="687"/>
      <c r="B428" s="148">
        <f t="shared" si="61"/>
        <v>6</v>
      </c>
      <c r="C428" s="28" t="str">
        <f t="shared" si="59"/>
        <v>.bit 6</v>
      </c>
      <c r="D428" s="677"/>
      <c r="E428" s="158" t="str">
        <f t="shared" si="60"/>
        <v>0x1116</v>
      </c>
      <c r="F428" s="665"/>
      <c r="G428" s="666"/>
      <c r="H428" s="669"/>
      <c r="I428" s="488"/>
      <c r="J428" s="669"/>
      <c r="K428" s="668"/>
      <c r="L428" s="667"/>
    </row>
    <row r="429" spans="1:12" x14ac:dyDescent="0.45">
      <c r="A429" s="687"/>
      <c r="B429" s="148">
        <f t="shared" si="61"/>
        <v>7</v>
      </c>
      <c r="C429" s="28" t="str">
        <f t="shared" si="59"/>
        <v>.bit 7</v>
      </c>
      <c r="D429" s="677"/>
      <c r="E429" s="158" t="str">
        <f t="shared" si="60"/>
        <v>0x1117</v>
      </c>
      <c r="F429" s="665"/>
      <c r="G429" s="666"/>
      <c r="H429" s="669"/>
      <c r="I429" s="488"/>
      <c r="J429" s="669"/>
      <c r="K429" s="668"/>
      <c r="L429" s="667"/>
    </row>
    <row r="430" spans="1:12" x14ac:dyDescent="0.45">
      <c r="A430" s="687"/>
      <c r="B430" s="148">
        <f t="shared" si="61"/>
        <v>8</v>
      </c>
      <c r="C430" s="28" t="str">
        <f t="shared" si="59"/>
        <v>.bit 8</v>
      </c>
      <c r="D430" s="677" t="s">
        <v>353</v>
      </c>
      <c r="E430" s="158" t="str">
        <f t="shared" si="60"/>
        <v>0x1118</v>
      </c>
      <c r="F430" s="665" t="s">
        <v>372</v>
      </c>
      <c r="G430" s="666" t="s">
        <v>923</v>
      </c>
      <c r="H430" s="669" t="s">
        <v>923</v>
      </c>
      <c r="I430" s="488"/>
      <c r="J430" s="669" t="s">
        <v>922</v>
      </c>
      <c r="K430" s="668" t="s">
        <v>605</v>
      </c>
      <c r="L430" s="667">
        <v>0</v>
      </c>
    </row>
    <row r="431" spans="1:12" x14ac:dyDescent="0.45">
      <c r="A431" s="687"/>
      <c r="B431" s="148">
        <f t="shared" si="61"/>
        <v>9</v>
      </c>
      <c r="C431" s="28" t="str">
        <f t="shared" si="59"/>
        <v>.bit 9</v>
      </c>
      <c r="D431" s="677"/>
      <c r="E431" s="158" t="str">
        <f t="shared" si="60"/>
        <v>0x1119</v>
      </c>
      <c r="F431" s="665"/>
      <c r="G431" s="666"/>
      <c r="H431" s="669"/>
      <c r="I431" s="488"/>
      <c r="J431" s="669"/>
      <c r="K431" s="668"/>
      <c r="L431" s="667"/>
    </row>
    <row r="432" spans="1:12" x14ac:dyDescent="0.45">
      <c r="A432" s="687"/>
      <c r="B432" s="148">
        <f t="shared" si="61"/>
        <v>10</v>
      </c>
      <c r="C432" s="28" t="str">
        <f t="shared" si="59"/>
        <v>.bit 10</v>
      </c>
      <c r="D432" s="677"/>
      <c r="E432" s="158" t="str">
        <f t="shared" si="60"/>
        <v>0x111A</v>
      </c>
      <c r="F432" s="665"/>
      <c r="G432" s="666"/>
      <c r="H432" s="669"/>
      <c r="I432" s="488"/>
      <c r="J432" s="669"/>
      <c r="K432" s="668"/>
      <c r="L432" s="667"/>
    </row>
    <row r="433" spans="1:12" x14ac:dyDescent="0.45">
      <c r="A433" s="687"/>
      <c r="B433" s="148">
        <f t="shared" si="61"/>
        <v>11</v>
      </c>
      <c r="C433" s="28" t="str">
        <f t="shared" si="59"/>
        <v>.bit 11</v>
      </c>
      <c r="D433" s="677"/>
      <c r="E433" s="158" t="str">
        <f t="shared" si="60"/>
        <v>0x111B</v>
      </c>
      <c r="F433" s="665"/>
      <c r="G433" s="666"/>
      <c r="H433" s="669"/>
      <c r="I433" s="488"/>
      <c r="J433" s="669"/>
      <c r="K433" s="668"/>
      <c r="L433" s="667"/>
    </row>
    <row r="434" spans="1:12" x14ac:dyDescent="0.45">
      <c r="A434" s="687"/>
      <c r="B434" s="148">
        <f t="shared" si="61"/>
        <v>12</v>
      </c>
      <c r="C434" s="28" t="str">
        <f t="shared" si="59"/>
        <v>.bit 12</v>
      </c>
      <c r="D434" s="677" t="s">
        <v>354</v>
      </c>
      <c r="E434" s="158" t="str">
        <f t="shared" si="60"/>
        <v>0x111C</v>
      </c>
      <c r="F434" s="665" t="s">
        <v>373</v>
      </c>
      <c r="G434" s="666" t="s">
        <v>923</v>
      </c>
      <c r="H434" s="669" t="s">
        <v>923</v>
      </c>
      <c r="I434" s="488"/>
      <c r="J434" s="669" t="s">
        <v>922</v>
      </c>
      <c r="K434" s="668" t="s">
        <v>605</v>
      </c>
      <c r="L434" s="667">
        <v>0</v>
      </c>
    </row>
    <row r="435" spans="1:12" x14ac:dyDescent="0.45">
      <c r="A435" s="687"/>
      <c r="B435" s="148">
        <f t="shared" si="61"/>
        <v>13</v>
      </c>
      <c r="C435" s="28" t="str">
        <f t="shared" si="59"/>
        <v>.bit 13</v>
      </c>
      <c r="D435" s="677"/>
      <c r="E435" s="158" t="str">
        <f t="shared" si="60"/>
        <v>0x111D</v>
      </c>
      <c r="F435" s="665"/>
      <c r="G435" s="666"/>
      <c r="H435" s="669"/>
      <c r="I435" s="488"/>
      <c r="J435" s="669"/>
      <c r="K435" s="668"/>
      <c r="L435" s="667"/>
    </row>
    <row r="436" spans="1:12" x14ac:dyDescent="0.45">
      <c r="A436" s="687"/>
      <c r="B436" s="148">
        <f t="shared" si="61"/>
        <v>14</v>
      </c>
      <c r="C436" s="28" t="str">
        <f t="shared" si="59"/>
        <v>.bit 14</v>
      </c>
      <c r="D436" s="677"/>
      <c r="E436" s="158" t="str">
        <f t="shared" si="60"/>
        <v>0x111E</v>
      </c>
      <c r="F436" s="665"/>
      <c r="G436" s="666"/>
      <c r="H436" s="669"/>
      <c r="I436" s="488"/>
      <c r="J436" s="669"/>
      <c r="K436" s="668"/>
      <c r="L436" s="667"/>
    </row>
    <row r="437" spans="1:12" x14ac:dyDescent="0.45">
      <c r="A437" s="687"/>
      <c r="B437" s="45">
        <f t="shared" si="61"/>
        <v>15</v>
      </c>
      <c r="C437" s="46" t="str">
        <f t="shared" si="59"/>
        <v>.bit 15</v>
      </c>
      <c r="D437" s="680"/>
      <c r="E437" s="159" t="str">
        <f t="shared" si="60"/>
        <v>0x111F</v>
      </c>
      <c r="F437" s="681"/>
      <c r="G437" s="666"/>
      <c r="H437" s="669"/>
      <c r="I437" s="488"/>
      <c r="J437" s="678"/>
      <c r="K437" s="668"/>
      <c r="L437" s="679"/>
    </row>
    <row r="438" spans="1:12" x14ac:dyDescent="0.45">
      <c r="A438" s="687"/>
      <c r="B438" s="137" t="s">
        <v>359</v>
      </c>
      <c r="C438" s="129" t="str">
        <f>CONCATENATE("0x", DEC2HEX(2+HEX2DEC('inicio zonas'!$C$18)))</f>
        <v>0x112</v>
      </c>
      <c r="D438" s="136"/>
      <c r="E438" s="165"/>
      <c r="F438" s="119" t="s">
        <v>365</v>
      </c>
      <c r="G438" s="342" t="s">
        <v>923</v>
      </c>
      <c r="H438" s="407" t="s">
        <v>923</v>
      </c>
      <c r="I438" s="563"/>
      <c r="J438" s="298" t="s">
        <v>922</v>
      </c>
      <c r="K438" s="205" t="s">
        <v>605</v>
      </c>
      <c r="L438" s="313">
        <v>0</v>
      </c>
    </row>
    <row r="439" spans="1:12" x14ac:dyDescent="0.45">
      <c r="A439" s="687"/>
      <c r="B439" s="137" t="s">
        <v>360</v>
      </c>
      <c r="C439" s="129" t="str">
        <f>CONCATENATE("0x", DEC2HEX(3+HEX2DEC('inicio zonas'!$C$18)))</f>
        <v>0x113</v>
      </c>
      <c r="D439" s="136"/>
      <c r="E439" s="165"/>
      <c r="F439" s="137" t="s">
        <v>366</v>
      </c>
      <c r="G439" s="504" t="s">
        <v>923</v>
      </c>
      <c r="H439" s="409" t="s">
        <v>923</v>
      </c>
      <c r="I439" s="563"/>
      <c r="J439" s="205" t="s">
        <v>922</v>
      </c>
      <c r="K439" s="205" t="s">
        <v>605</v>
      </c>
      <c r="L439" s="334">
        <v>0</v>
      </c>
    </row>
    <row r="440" spans="1:12" x14ac:dyDescent="0.45">
      <c r="A440" s="687"/>
      <c r="B440" s="126" t="s">
        <v>361</v>
      </c>
      <c r="C440" s="121" t="str">
        <f>CONCATENATE("0x", DEC2HEX(4+HEX2DEC('inicio zonas'!$C$18)))</f>
        <v>0x114</v>
      </c>
      <c r="D440" s="130"/>
      <c r="E440" s="170"/>
      <c r="F440" s="126"/>
      <c r="G440" s="501"/>
      <c r="H440" s="408"/>
      <c r="I440" s="572"/>
      <c r="J440" s="216"/>
      <c r="K440" s="216"/>
      <c r="L440" s="312"/>
    </row>
    <row r="441" spans="1:12" x14ac:dyDescent="0.45">
      <c r="A441" s="687"/>
      <c r="B441" s="124"/>
      <c r="C441" s="119" t="s">
        <v>362</v>
      </c>
      <c r="D441" s="120" t="s">
        <v>363</v>
      </c>
      <c r="E441" s="171"/>
      <c r="F441" s="276" t="s">
        <v>375</v>
      </c>
      <c r="G441" s="504" t="s">
        <v>923</v>
      </c>
      <c r="H441" s="409" t="s">
        <v>923</v>
      </c>
      <c r="I441" s="563"/>
      <c r="J441" s="298" t="s">
        <v>922</v>
      </c>
      <c r="K441" s="298" t="s">
        <v>605</v>
      </c>
      <c r="L441" s="336" t="s">
        <v>374</v>
      </c>
    </row>
    <row r="442" spans="1:12" x14ac:dyDescent="0.45">
      <c r="A442" s="687"/>
      <c r="B442" s="133"/>
      <c r="C442" s="131" t="s">
        <v>339</v>
      </c>
      <c r="D442" s="134" t="s">
        <v>364</v>
      </c>
      <c r="E442" s="172"/>
      <c r="F442" s="133" t="s">
        <v>376</v>
      </c>
      <c r="G442" s="504" t="s">
        <v>923</v>
      </c>
      <c r="H442" s="409" t="s">
        <v>923</v>
      </c>
      <c r="I442" s="563"/>
      <c r="J442" s="212" t="s">
        <v>922</v>
      </c>
      <c r="K442" s="212" t="s">
        <v>605</v>
      </c>
      <c r="L442" s="337" t="s">
        <v>374</v>
      </c>
    </row>
    <row r="443" spans="1:12" x14ac:dyDescent="0.45">
      <c r="A443" s="687"/>
      <c r="B443" s="137" t="s">
        <v>429</v>
      </c>
      <c r="C443" s="129" t="str">
        <f>CONCATENATE("0x", DEC2HEX(5+HEX2DEC('inicio zonas'!$C$18)))</f>
        <v>0x115</v>
      </c>
      <c r="D443" s="136"/>
      <c r="E443" s="165"/>
      <c r="F443" s="137" t="s">
        <v>431</v>
      </c>
      <c r="G443" s="342" t="s">
        <v>923</v>
      </c>
      <c r="H443" s="407" t="s">
        <v>923</v>
      </c>
      <c r="I443" s="563"/>
      <c r="J443" s="298" t="s">
        <v>922</v>
      </c>
      <c r="K443" s="205" t="s">
        <v>605</v>
      </c>
      <c r="L443" s="338">
        <v>0</v>
      </c>
    </row>
    <row r="444" spans="1:12" x14ac:dyDescent="0.45">
      <c r="A444" s="676"/>
      <c r="B444" s="124" t="s">
        <v>430</v>
      </c>
      <c r="C444" s="139" t="str">
        <f>CONCATENATE("0x", DEC2HEX(6+HEX2DEC('inicio zonas'!$C$18)))</f>
        <v>0x116</v>
      </c>
      <c r="D444" s="120"/>
      <c r="E444" s="171"/>
      <c r="F444" s="276" t="s">
        <v>432</v>
      </c>
      <c r="G444" s="514" t="s">
        <v>923</v>
      </c>
      <c r="H444" s="376" t="s">
        <v>923</v>
      </c>
      <c r="I444" s="596"/>
      <c r="J444" s="205" t="s">
        <v>922</v>
      </c>
      <c r="K444" s="212" t="s">
        <v>605</v>
      </c>
      <c r="L444" s="337">
        <v>0</v>
      </c>
    </row>
    <row r="445" spans="1:12" x14ac:dyDescent="0.45">
      <c r="A445" s="186"/>
      <c r="B445" s="83"/>
      <c r="C445" s="143"/>
      <c r="D445" s="60"/>
      <c r="E445" s="108"/>
      <c r="F445" s="189"/>
      <c r="G445" s="339"/>
      <c r="H445" s="189"/>
      <c r="I445" s="597"/>
      <c r="J445" s="107"/>
      <c r="K445" s="107"/>
      <c r="L445" s="301"/>
    </row>
    <row r="446" spans="1:12" ht="15" customHeight="1" x14ac:dyDescent="0.45">
      <c r="A446" s="686" t="s">
        <v>344</v>
      </c>
      <c r="B446" s="43" t="s">
        <v>436</v>
      </c>
      <c r="C446" s="121" t="str">
        <f>CONCATENATE("0x", DEC2HEX(8+HEX2DEC('inicio zonas'!$C$18)))</f>
        <v>0x118</v>
      </c>
      <c r="D446" s="105"/>
      <c r="E446" s="169"/>
      <c r="F446" s="126"/>
      <c r="G446" s="501"/>
      <c r="H446" s="408"/>
      <c r="I446" s="572"/>
      <c r="J446" s="216"/>
      <c r="K446" s="216"/>
      <c r="L446" s="312"/>
    </row>
    <row r="447" spans="1:12" x14ac:dyDescent="0.45">
      <c r="A447" s="687"/>
      <c r="B447" s="148">
        <v>0</v>
      </c>
      <c r="C447" s="28" t="str">
        <f>CONCATENATE(".bit ", B447)</f>
        <v>.bit 0</v>
      </c>
      <c r="D447" s="677" t="s">
        <v>348</v>
      </c>
      <c r="E447" s="158" t="str">
        <f>CONCATENATE($C$446,DEC2HEX(B447))</f>
        <v>0x1180</v>
      </c>
      <c r="F447" s="665" t="s">
        <v>367</v>
      </c>
      <c r="G447" s="666" t="s">
        <v>923</v>
      </c>
      <c r="H447" s="669" t="s">
        <v>923</v>
      </c>
      <c r="I447" s="488"/>
      <c r="J447" s="669" t="s">
        <v>922</v>
      </c>
      <c r="K447" s="668" t="s">
        <v>605</v>
      </c>
      <c r="L447" s="667">
        <v>0</v>
      </c>
    </row>
    <row r="448" spans="1:12" x14ac:dyDescent="0.45">
      <c r="A448" s="687"/>
      <c r="B448" s="148">
        <f>B447+1</f>
        <v>1</v>
      </c>
      <c r="C448" s="28" t="str">
        <f t="shared" ref="C448:C462" si="62">CONCATENATE(".bit ", B448)</f>
        <v>.bit 1</v>
      </c>
      <c r="D448" s="677"/>
      <c r="E448" s="158" t="str">
        <f t="shared" ref="E448:E462" si="63">CONCATENATE($C$446,DEC2HEX(B448))</f>
        <v>0x1181</v>
      </c>
      <c r="F448" s="665"/>
      <c r="G448" s="666"/>
      <c r="H448" s="669"/>
      <c r="I448" s="488"/>
      <c r="J448" s="669"/>
      <c r="K448" s="668"/>
      <c r="L448" s="667"/>
    </row>
    <row r="449" spans="1:12" x14ac:dyDescent="0.45">
      <c r="A449" s="687"/>
      <c r="B449" s="148">
        <f t="shared" ref="B449:B462" si="64">B448+1</f>
        <v>2</v>
      </c>
      <c r="C449" s="28" t="str">
        <f t="shared" si="62"/>
        <v>.bit 2</v>
      </c>
      <c r="D449" s="677"/>
      <c r="E449" s="158" t="str">
        <f t="shared" si="63"/>
        <v>0x1182</v>
      </c>
      <c r="F449" s="665"/>
      <c r="G449" s="666"/>
      <c r="H449" s="669"/>
      <c r="I449" s="488"/>
      <c r="J449" s="669"/>
      <c r="K449" s="668"/>
      <c r="L449" s="667"/>
    </row>
    <row r="450" spans="1:12" x14ac:dyDescent="0.45">
      <c r="A450" s="687"/>
      <c r="B450" s="148">
        <f t="shared" si="64"/>
        <v>3</v>
      </c>
      <c r="C450" s="28" t="str">
        <f t="shared" si="62"/>
        <v>.bit 3</v>
      </c>
      <c r="D450" s="677"/>
      <c r="E450" s="158" t="str">
        <f t="shared" si="63"/>
        <v>0x1183</v>
      </c>
      <c r="F450" s="665"/>
      <c r="G450" s="666"/>
      <c r="H450" s="669"/>
      <c r="I450" s="488"/>
      <c r="J450" s="669"/>
      <c r="K450" s="668"/>
      <c r="L450" s="667"/>
    </row>
    <row r="451" spans="1:12" x14ac:dyDescent="0.45">
      <c r="A451" s="687"/>
      <c r="B451" s="148">
        <f t="shared" si="64"/>
        <v>4</v>
      </c>
      <c r="C451" s="28" t="str">
        <f t="shared" si="62"/>
        <v>.bit 4</v>
      </c>
      <c r="D451" s="677" t="s">
        <v>349</v>
      </c>
      <c r="E451" s="158" t="str">
        <f t="shared" si="63"/>
        <v>0x1184</v>
      </c>
      <c r="F451" s="665" t="s">
        <v>368</v>
      </c>
      <c r="G451" s="666" t="s">
        <v>923</v>
      </c>
      <c r="H451" s="669" t="s">
        <v>923</v>
      </c>
      <c r="I451" s="488"/>
      <c r="J451" s="669" t="s">
        <v>922</v>
      </c>
      <c r="K451" s="668" t="s">
        <v>605</v>
      </c>
      <c r="L451" s="667">
        <v>0</v>
      </c>
    </row>
    <row r="452" spans="1:12" x14ac:dyDescent="0.45">
      <c r="A452" s="687"/>
      <c r="B452" s="148">
        <f t="shared" si="64"/>
        <v>5</v>
      </c>
      <c r="C452" s="28" t="str">
        <f t="shared" si="62"/>
        <v>.bit 5</v>
      </c>
      <c r="D452" s="677"/>
      <c r="E452" s="158" t="str">
        <f t="shared" si="63"/>
        <v>0x1185</v>
      </c>
      <c r="F452" s="665"/>
      <c r="G452" s="666"/>
      <c r="H452" s="669"/>
      <c r="I452" s="488"/>
      <c r="J452" s="669"/>
      <c r="K452" s="668"/>
      <c r="L452" s="667"/>
    </row>
    <row r="453" spans="1:12" x14ac:dyDescent="0.45">
      <c r="A453" s="687"/>
      <c r="B453" s="148">
        <f t="shared" si="64"/>
        <v>6</v>
      </c>
      <c r="C453" s="28" t="str">
        <f t="shared" si="62"/>
        <v>.bit 6</v>
      </c>
      <c r="D453" s="677"/>
      <c r="E453" s="158" t="str">
        <f t="shared" si="63"/>
        <v>0x1186</v>
      </c>
      <c r="F453" s="665"/>
      <c r="G453" s="666"/>
      <c r="H453" s="669"/>
      <c r="I453" s="488"/>
      <c r="J453" s="669"/>
      <c r="K453" s="668"/>
      <c r="L453" s="667"/>
    </row>
    <row r="454" spans="1:12" x14ac:dyDescent="0.45">
      <c r="A454" s="687"/>
      <c r="B454" s="148">
        <f t="shared" si="64"/>
        <v>7</v>
      </c>
      <c r="C454" s="28" t="str">
        <f t="shared" si="62"/>
        <v>.bit 7</v>
      </c>
      <c r="D454" s="677"/>
      <c r="E454" s="158" t="str">
        <f t="shared" si="63"/>
        <v>0x1187</v>
      </c>
      <c r="F454" s="665"/>
      <c r="G454" s="666"/>
      <c r="H454" s="669"/>
      <c r="I454" s="488"/>
      <c r="J454" s="669"/>
      <c r="K454" s="668"/>
      <c r="L454" s="667"/>
    </row>
    <row r="455" spans="1:12" x14ac:dyDescent="0.45">
      <c r="A455" s="687"/>
      <c r="B455" s="148">
        <f t="shared" si="64"/>
        <v>8</v>
      </c>
      <c r="C455" s="28" t="str">
        <f t="shared" si="62"/>
        <v>.bit 8</v>
      </c>
      <c r="D455" s="677" t="s">
        <v>350</v>
      </c>
      <c r="E455" s="158" t="str">
        <f t="shared" si="63"/>
        <v>0x1188</v>
      </c>
      <c r="F455" s="665" t="s">
        <v>369</v>
      </c>
      <c r="G455" s="666" t="s">
        <v>923</v>
      </c>
      <c r="H455" s="669" t="s">
        <v>923</v>
      </c>
      <c r="I455" s="488"/>
      <c r="J455" s="669" t="s">
        <v>922</v>
      </c>
      <c r="K455" s="668" t="s">
        <v>605</v>
      </c>
      <c r="L455" s="667">
        <v>0</v>
      </c>
    </row>
    <row r="456" spans="1:12" x14ac:dyDescent="0.45">
      <c r="A456" s="687"/>
      <c r="B456" s="148">
        <f t="shared" si="64"/>
        <v>9</v>
      </c>
      <c r="C456" s="28" t="str">
        <f t="shared" si="62"/>
        <v>.bit 9</v>
      </c>
      <c r="D456" s="677"/>
      <c r="E456" s="158" t="str">
        <f t="shared" si="63"/>
        <v>0x1189</v>
      </c>
      <c r="F456" s="665"/>
      <c r="G456" s="666"/>
      <c r="H456" s="669"/>
      <c r="I456" s="488"/>
      <c r="J456" s="669"/>
      <c r="K456" s="668"/>
      <c r="L456" s="667"/>
    </row>
    <row r="457" spans="1:12" x14ac:dyDescent="0.45">
      <c r="A457" s="687"/>
      <c r="B457" s="148">
        <f t="shared" si="64"/>
        <v>10</v>
      </c>
      <c r="C457" s="28" t="str">
        <f t="shared" si="62"/>
        <v>.bit 10</v>
      </c>
      <c r="D457" s="677"/>
      <c r="E457" s="158" t="str">
        <f t="shared" si="63"/>
        <v>0x118A</v>
      </c>
      <c r="F457" s="665"/>
      <c r="G457" s="666"/>
      <c r="H457" s="669"/>
      <c r="I457" s="488"/>
      <c r="J457" s="669"/>
      <c r="K457" s="668"/>
      <c r="L457" s="667"/>
    </row>
    <row r="458" spans="1:12" x14ac:dyDescent="0.45">
      <c r="A458" s="687"/>
      <c r="B458" s="148">
        <f t="shared" si="64"/>
        <v>11</v>
      </c>
      <c r="C458" s="28" t="str">
        <f t="shared" si="62"/>
        <v>.bit 11</v>
      </c>
      <c r="D458" s="677"/>
      <c r="E458" s="158" t="str">
        <f t="shared" si="63"/>
        <v>0x118B</v>
      </c>
      <c r="F458" s="665"/>
      <c r="G458" s="666"/>
      <c r="H458" s="669"/>
      <c r="I458" s="488"/>
      <c r="J458" s="669"/>
      <c r="K458" s="668"/>
      <c r="L458" s="667"/>
    </row>
    <row r="459" spans="1:12" x14ac:dyDescent="0.45">
      <c r="A459" s="687"/>
      <c r="B459" s="148">
        <f t="shared" si="64"/>
        <v>12</v>
      </c>
      <c r="C459" s="28" t="str">
        <f t="shared" si="62"/>
        <v>.bit 12</v>
      </c>
      <c r="D459" s="173"/>
      <c r="E459" s="158" t="str">
        <f t="shared" si="63"/>
        <v>0x118C</v>
      </c>
      <c r="F459" s="276"/>
      <c r="G459" s="504"/>
      <c r="H459" s="409"/>
      <c r="I459" s="563"/>
      <c r="J459" s="298"/>
      <c r="K459" s="298"/>
      <c r="L459" s="313"/>
    </row>
    <row r="460" spans="1:12" x14ac:dyDescent="0.45">
      <c r="A460" s="687"/>
      <c r="B460" s="148">
        <f t="shared" si="64"/>
        <v>13</v>
      </c>
      <c r="C460" s="28" t="str">
        <f t="shared" si="62"/>
        <v>.bit 13</v>
      </c>
      <c r="D460" s="173"/>
      <c r="E460" s="158" t="str">
        <f t="shared" si="63"/>
        <v>0x118D</v>
      </c>
      <c r="F460" s="276"/>
      <c r="G460" s="504"/>
      <c r="H460" s="409"/>
      <c r="I460" s="563"/>
      <c r="J460" s="298"/>
      <c r="K460" s="298"/>
      <c r="L460" s="313"/>
    </row>
    <row r="461" spans="1:12" x14ac:dyDescent="0.45">
      <c r="A461" s="687"/>
      <c r="B461" s="148">
        <f t="shared" si="64"/>
        <v>14</v>
      </c>
      <c r="C461" s="28" t="str">
        <f t="shared" si="62"/>
        <v>.bit 14</v>
      </c>
      <c r="D461" s="187" t="s">
        <v>145</v>
      </c>
      <c r="E461" s="158" t="str">
        <f t="shared" si="63"/>
        <v>0x118E</v>
      </c>
      <c r="F461" s="276" t="s">
        <v>358</v>
      </c>
      <c r="G461" s="504" t="s">
        <v>923</v>
      </c>
      <c r="H461" s="409" t="s">
        <v>923</v>
      </c>
      <c r="I461" s="563"/>
      <c r="J461" s="298" t="s">
        <v>922</v>
      </c>
      <c r="K461" s="298" t="s">
        <v>605</v>
      </c>
      <c r="L461" s="313">
        <v>0</v>
      </c>
    </row>
    <row r="462" spans="1:12" x14ac:dyDescent="0.45">
      <c r="A462" s="687"/>
      <c r="B462" s="45">
        <f t="shared" si="64"/>
        <v>15</v>
      </c>
      <c r="C462" s="46" t="str">
        <f t="shared" si="62"/>
        <v>.bit 15</v>
      </c>
      <c r="D462" s="188" t="s">
        <v>144</v>
      </c>
      <c r="E462" s="158" t="str">
        <f t="shared" si="63"/>
        <v>0x118F</v>
      </c>
      <c r="F462" s="133" t="s">
        <v>357</v>
      </c>
      <c r="G462" s="514" t="s">
        <v>923</v>
      </c>
      <c r="H462" s="376" t="s">
        <v>923</v>
      </c>
      <c r="I462" s="596"/>
      <c r="J462" s="212" t="s">
        <v>922</v>
      </c>
      <c r="K462" s="212" t="s">
        <v>605</v>
      </c>
      <c r="L462" s="335">
        <v>0</v>
      </c>
    </row>
    <row r="463" spans="1:12" x14ac:dyDescent="0.45">
      <c r="A463" s="687"/>
      <c r="B463" s="43" t="s">
        <v>437</v>
      </c>
      <c r="C463" s="121" t="str">
        <f>CONCATENATE("0x", DEC2HEX(9+HEX2DEC('inicio zonas'!$C$18)))</f>
        <v>0x119</v>
      </c>
      <c r="D463" s="105"/>
      <c r="E463" s="169"/>
      <c r="F463" s="126" t="s">
        <v>687</v>
      </c>
      <c r="G463" s="501"/>
      <c r="H463" s="408"/>
      <c r="I463" s="572"/>
      <c r="J463" s="216"/>
      <c r="K463" s="216"/>
      <c r="L463" s="312"/>
    </row>
    <row r="464" spans="1:12" x14ac:dyDescent="0.45">
      <c r="A464" s="687"/>
      <c r="B464" s="148">
        <v>0</v>
      </c>
      <c r="C464" s="28" t="str">
        <f>CONCATENATE(".bit ", B464)</f>
        <v>.bit 0</v>
      </c>
      <c r="D464" s="677" t="s">
        <v>351</v>
      </c>
      <c r="E464" s="158" t="str">
        <f>CONCATENATE($C$463,DEC2HEX(B464))</f>
        <v>0x1190</v>
      </c>
      <c r="F464" s="665" t="s">
        <v>686</v>
      </c>
      <c r="G464" s="666" t="s">
        <v>923</v>
      </c>
      <c r="H464" s="669" t="s">
        <v>923</v>
      </c>
      <c r="I464" s="488"/>
      <c r="J464" s="669" t="s">
        <v>922</v>
      </c>
      <c r="K464" s="668" t="s">
        <v>605</v>
      </c>
      <c r="L464" s="667">
        <v>0</v>
      </c>
    </row>
    <row r="465" spans="1:14" x14ac:dyDescent="0.45">
      <c r="A465" s="687"/>
      <c r="B465" s="148">
        <f>B464+1</f>
        <v>1</v>
      </c>
      <c r="C465" s="28" t="str">
        <f t="shared" ref="C465:C479" si="65">CONCATENATE(".bit ", B465)</f>
        <v>.bit 1</v>
      </c>
      <c r="D465" s="677"/>
      <c r="E465" s="158" t="str">
        <f t="shared" ref="E465:E479" si="66">CONCATENATE($C$463,DEC2HEX(B465))</f>
        <v>0x1191</v>
      </c>
      <c r="F465" s="665"/>
      <c r="G465" s="666"/>
      <c r="H465" s="669"/>
      <c r="I465" s="488"/>
      <c r="J465" s="669"/>
      <c r="K465" s="668"/>
      <c r="L465" s="667"/>
    </row>
    <row r="466" spans="1:14" x14ac:dyDescent="0.45">
      <c r="A466" s="687"/>
      <c r="B466" s="148">
        <f t="shared" ref="B466:B479" si="67">B465+1</f>
        <v>2</v>
      </c>
      <c r="C466" s="28" t="str">
        <f t="shared" si="65"/>
        <v>.bit 2</v>
      </c>
      <c r="D466" s="677"/>
      <c r="E466" s="158" t="str">
        <f t="shared" si="66"/>
        <v>0x1192</v>
      </c>
      <c r="F466" s="665"/>
      <c r="G466" s="666"/>
      <c r="H466" s="669"/>
      <c r="I466" s="488"/>
      <c r="J466" s="669"/>
      <c r="K466" s="668"/>
      <c r="L466" s="667"/>
    </row>
    <row r="467" spans="1:14" x14ac:dyDescent="0.45">
      <c r="A467" s="687"/>
      <c r="B467" s="148">
        <f t="shared" si="67"/>
        <v>3</v>
      </c>
      <c r="C467" s="28" t="str">
        <f t="shared" si="65"/>
        <v>.bit 3</v>
      </c>
      <c r="D467" s="677"/>
      <c r="E467" s="158" t="str">
        <f t="shared" si="66"/>
        <v>0x1193</v>
      </c>
      <c r="F467" s="665"/>
      <c r="G467" s="666"/>
      <c r="H467" s="669"/>
      <c r="I467" s="488"/>
      <c r="J467" s="669"/>
      <c r="K467" s="668"/>
      <c r="L467" s="667"/>
    </row>
    <row r="468" spans="1:14" x14ac:dyDescent="0.45">
      <c r="A468" s="687"/>
      <c r="B468" s="148">
        <f t="shared" si="67"/>
        <v>4</v>
      </c>
      <c r="C468" s="28" t="str">
        <f t="shared" si="65"/>
        <v>.bit 4</v>
      </c>
      <c r="D468" s="677" t="s">
        <v>352</v>
      </c>
      <c r="E468" s="158" t="str">
        <f t="shared" si="66"/>
        <v>0x1194</v>
      </c>
      <c r="F468" s="665" t="s">
        <v>371</v>
      </c>
      <c r="G468" s="666" t="s">
        <v>923</v>
      </c>
      <c r="H468" s="669" t="s">
        <v>923</v>
      </c>
      <c r="I468" s="488"/>
      <c r="J468" s="669" t="s">
        <v>922</v>
      </c>
      <c r="K468" s="668" t="s">
        <v>605</v>
      </c>
      <c r="L468" s="667">
        <v>0</v>
      </c>
    </row>
    <row r="469" spans="1:14" x14ac:dyDescent="0.45">
      <c r="A469" s="687"/>
      <c r="B469" s="148">
        <f t="shared" si="67"/>
        <v>5</v>
      </c>
      <c r="C469" s="28" t="str">
        <f t="shared" si="65"/>
        <v>.bit 5</v>
      </c>
      <c r="D469" s="677"/>
      <c r="E469" s="158" t="str">
        <f t="shared" si="66"/>
        <v>0x1195</v>
      </c>
      <c r="F469" s="665"/>
      <c r="G469" s="666"/>
      <c r="H469" s="669"/>
      <c r="I469" s="488"/>
      <c r="J469" s="669"/>
      <c r="K469" s="668"/>
      <c r="L469" s="667"/>
    </row>
    <row r="470" spans="1:14" x14ac:dyDescent="0.45">
      <c r="A470" s="687"/>
      <c r="B470" s="148">
        <f t="shared" si="67"/>
        <v>6</v>
      </c>
      <c r="C470" s="28" t="str">
        <f t="shared" si="65"/>
        <v>.bit 6</v>
      </c>
      <c r="D470" s="677"/>
      <c r="E470" s="158" t="str">
        <f t="shared" si="66"/>
        <v>0x1196</v>
      </c>
      <c r="F470" s="665"/>
      <c r="G470" s="666"/>
      <c r="H470" s="669"/>
      <c r="I470" s="488"/>
      <c r="J470" s="669"/>
      <c r="K470" s="668"/>
      <c r="L470" s="667"/>
    </row>
    <row r="471" spans="1:14" x14ac:dyDescent="0.45">
      <c r="A471" s="687"/>
      <c r="B471" s="148">
        <f t="shared" si="67"/>
        <v>7</v>
      </c>
      <c r="C471" s="28" t="str">
        <f t="shared" si="65"/>
        <v>.bit 7</v>
      </c>
      <c r="D471" s="677"/>
      <c r="E471" s="158" t="str">
        <f t="shared" si="66"/>
        <v>0x1197</v>
      </c>
      <c r="F471" s="665"/>
      <c r="G471" s="666"/>
      <c r="H471" s="669"/>
      <c r="I471" s="488"/>
      <c r="J471" s="669"/>
      <c r="K471" s="668"/>
      <c r="L471" s="667"/>
    </row>
    <row r="472" spans="1:14" x14ac:dyDescent="0.45">
      <c r="A472" s="687"/>
      <c r="B472" s="148">
        <f t="shared" si="67"/>
        <v>8</v>
      </c>
      <c r="C472" s="28" t="str">
        <f t="shared" si="65"/>
        <v>.bit 8</v>
      </c>
      <c r="D472" s="677" t="s">
        <v>353</v>
      </c>
      <c r="E472" s="158" t="str">
        <f t="shared" si="66"/>
        <v>0x1198</v>
      </c>
      <c r="F472" s="665" t="s">
        <v>372</v>
      </c>
      <c r="G472" s="666" t="s">
        <v>923</v>
      </c>
      <c r="H472" s="669" t="s">
        <v>923</v>
      </c>
      <c r="I472" s="488"/>
      <c r="J472" s="669" t="s">
        <v>922</v>
      </c>
      <c r="K472" s="668" t="s">
        <v>605</v>
      </c>
      <c r="L472" s="667">
        <v>0</v>
      </c>
    </row>
    <row r="473" spans="1:14" x14ac:dyDescent="0.45">
      <c r="A473" s="687"/>
      <c r="B473" s="148">
        <f t="shared" si="67"/>
        <v>9</v>
      </c>
      <c r="C473" s="28" t="str">
        <f t="shared" si="65"/>
        <v>.bit 9</v>
      </c>
      <c r="D473" s="677"/>
      <c r="E473" s="158" t="str">
        <f t="shared" si="66"/>
        <v>0x1199</v>
      </c>
      <c r="F473" s="665"/>
      <c r="G473" s="666"/>
      <c r="H473" s="669"/>
      <c r="I473" s="488"/>
      <c r="J473" s="669"/>
      <c r="K473" s="668"/>
      <c r="L473" s="667"/>
    </row>
    <row r="474" spans="1:14" x14ac:dyDescent="0.45">
      <c r="A474" s="687"/>
      <c r="B474" s="148">
        <f t="shared" si="67"/>
        <v>10</v>
      </c>
      <c r="C474" s="28" t="str">
        <f t="shared" si="65"/>
        <v>.bit 10</v>
      </c>
      <c r="D474" s="677"/>
      <c r="E474" s="158" t="str">
        <f t="shared" si="66"/>
        <v>0x119A</v>
      </c>
      <c r="F474" s="665"/>
      <c r="G474" s="666"/>
      <c r="H474" s="669"/>
      <c r="I474" s="488"/>
      <c r="J474" s="669"/>
      <c r="K474" s="668"/>
      <c r="L474" s="667"/>
    </row>
    <row r="475" spans="1:14" x14ac:dyDescent="0.45">
      <c r="A475" s="687"/>
      <c r="B475" s="148">
        <f t="shared" si="67"/>
        <v>11</v>
      </c>
      <c r="C475" s="28" t="str">
        <f t="shared" si="65"/>
        <v>.bit 11</v>
      </c>
      <c r="D475" s="677"/>
      <c r="E475" s="158" t="str">
        <f t="shared" si="66"/>
        <v>0x119B</v>
      </c>
      <c r="F475" s="665"/>
      <c r="G475" s="666"/>
      <c r="H475" s="669"/>
      <c r="I475" s="488"/>
      <c r="J475" s="669"/>
      <c r="K475" s="668"/>
      <c r="L475" s="667"/>
    </row>
    <row r="476" spans="1:14" x14ac:dyDescent="0.45">
      <c r="A476" s="687"/>
      <c r="B476" s="148">
        <f t="shared" si="67"/>
        <v>12</v>
      </c>
      <c r="C476" s="28" t="str">
        <f t="shared" si="65"/>
        <v>.bit 12</v>
      </c>
      <c r="D476" s="677" t="s">
        <v>354</v>
      </c>
      <c r="E476" s="158" t="str">
        <f t="shared" si="66"/>
        <v>0x119C</v>
      </c>
      <c r="F476" s="665" t="s">
        <v>373</v>
      </c>
      <c r="G476" s="666" t="s">
        <v>923</v>
      </c>
      <c r="H476" s="669" t="s">
        <v>923</v>
      </c>
      <c r="I476" s="488"/>
      <c r="J476" s="669" t="s">
        <v>922</v>
      </c>
      <c r="K476" s="668" t="s">
        <v>605</v>
      </c>
      <c r="L476" s="667">
        <v>0</v>
      </c>
    </row>
    <row r="477" spans="1:14" x14ac:dyDescent="0.45">
      <c r="A477" s="687"/>
      <c r="B477" s="148">
        <f t="shared" si="67"/>
        <v>13</v>
      </c>
      <c r="C477" s="28" t="str">
        <f t="shared" si="65"/>
        <v>.bit 13</v>
      </c>
      <c r="D477" s="677"/>
      <c r="E477" s="158" t="str">
        <f t="shared" si="66"/>
        <v>0x119D</v>
      </c>
      <c r="F477" s="665"/>
      <c r="G477" s="666"/>
      <c r="H477" s="669"/>
      <c r="I477" s="488"/>
      <c r="J477" s="669"/>
      <c r="K477" s="668"/>
      <c r="L477" s="667"/>
    </row>
    <row r="478" spans="1:14" x14ac:dyDescent="0.45">
      <c r="A478" s="687"/>
      <c r="B478" s="148">
        <f t="shared" si="67"/>
        <v>14</v>
      </c>
      <c r="C478" s="28" t="str">
        <f t="shared" si="65"/>
        <v>.bit 14</v>
      </c>
      <c r="D478" s="677"/>
      <c r="E478" s="158" t="str">
        <f t="shared" si="66"/>
        <v>0x119E</v>
      </c>
      <c r="F478" s="665"/>
      <c r="G478" s="666"/>
      <c r="H478" s="669"/>
      <c r="I478" s="488"/>
      <c r="J478" s="669"/>
      <c r="K478" s="668"/>
      <c r="L478" s="667"/>
    </row>
    <row r="479" spans="1:14" x14ac:dyDescent="0.45">
      <c r="A479" s="687"/>
      <c r="B479" s="45">
        <f t="shared" si="67"/>
        <v>15</v>
      </c>
      <c r="C479" s="46" t="str">
        <f t="shared" si="65"/>
        <v>.bit 15</v>
      </c>
      <c r="D479" s="680"/>
      <c r="E479" s="158" t="str">
        <f t="shared" si="66"/>
        <v>0x119F</v>
      </c>
      <c r="F479" s="681"/>
      <c r="G479" s="666"/>
      <c r="H479" s="669"/>
      <c r="I479" s="488"/>
      <c r="J479" s="678"/>
      <c r="K479" s="668"/>
      <c r="L479" s="679"/>
    </row>
    <row r="480" spans="1:14" x14ac:dyDescent="0.45">
      <c r="A480" s="687"/>
      <c r="B480" s="137" t="s">
        <v>359</v>
      </c>
      <c r="C480" s="129" t="str">
        <f>CONCATENATE("0x", DEC2HEX(10+HEX2DEC('inicio zonas'!$C$18)))</f>
        <v>0x11A</v>
      </c>
      <c r="D480" s="135"/>
      <c r="E480" s="165"/>
      <c r="F480" s="119" t="s">
        <v>365</v>
      </c>
      <c r="G480" s="342" t="s">
        <v>923</v>
      </c>
      <c r="H480" s="407" t="s">
        <v>923</v>
      </c>
      <c r="I480" s="563"/>
      <c r="J480" s="298" t="s">
        <v>922</v>
      </c>
      <c r="K480" s="205" t="s">
        <v>605</v>
      </c>
      <c r="L480" s="313">
        <v>0</v>
      </c>
      <c r="N480" t="s">
        <v>499</v>
      </c>
    </row>
    <row r="481" spans="1:12" x14ac:dyDescent="0.45">
      <c r="A481" s="687"/>
      <c r="B481" s="137" t="s">
        <v>360</v>
      </c>
      <c r="C481" s="129" t="str">
        <f>CONCATENATE("0x", DEC2HEX(11+HEX2DEC('inicio zonas'!$C$18)))</f>
        <v>0x11B</v>
      </c>
      <c r="D481" s="135"/>
      <c r="E481" s="165"/>
      <c r="F481" s="137" t="s">
        <v>377</v>
      </c>
      <c r="G481" s="504" t="s">
        <v>923</v>
      </c>
      <c r="H481" s="409" t="s">
        <v>923</v>
      </c>
      <c r="I481" s="563"/>
      <c r="J481" s="205" t="s">
        <v>922</v>
      </c>
      <c r="K481" s="205" t="s">
        <v>605</v>
      </c>
      <c r="L481" s="334">
        <v>0</v>
      </c>
    </row>
    <row r="482" spans="1:12" x14ac:dyDescent="0.45">
      <c r="A482" s="687"/>
      <c r="B482" s="126" t="s">
        <v>361</v>
      </c>
      <c r="C482" s="139" t="str">
        <f>CONCATENATE("0x", DEC2HEX(12+HEX2DEC('inicio zonas'!$C$18)))</f>
        <v>0x11C</v>
      </c>
      <c r="D482" s="127"/>
      <c r="E482" s="170"/>
      <c r="F482" s="126" t="s">
        <v>687</v>
      </c>
      <c r="G482" s="501"/>
      <c r="H482" s="408"/>
      <c r="I482" s="572"/>
      <c r="J482" s="216"/>
      <c r="K482" s="216"/>
      <c r="L482" s="312"/>
    </row>
    <row r="483" spans="1:12" x14ac:dyDescent="0.45">
      <c r="A483" s="687"/>
      <c r="B483" s="124"/>
      <c r="C483" s="119" t="s">
        <v>362</v>
      </c>
      <c r="D483" s="119" t="s">
        <v>363</v>
      </c>
      <c r="E483" s="171"/>
      <c r="F483" s="366" t="s">
        <v>686</v>
      </c>
      <c r="G483" s="504" t="s">
        <v>923</v>
      </c>
      <c r="H483" s="409" t="s">
        <v>923</v>
      </c>
      <c r="I483" s="563"/>
      <c r="J483" s="298" t="s">
        <v>922</v>
      </c>
      <c r="K483" s="298" t="s">
        <v>605</v>
      </c>
      <c r="L483" s="336" t="s">
        <v>374</v>
      </c>
    </row>
    <row r="484" spans="1:12" x14ac:dyDescent="0.45">
      <c r="A484" s="687"/>
      <c r="B484" s="133"/>
      <c r="C484" s="131" t="s">
        <v>339</v>
      </c>
      <c r="D484" s="131" t="s">
        <v>364</v>
      </c>
      <c r="E484" s="172"/>
      <c r="F484" s="133" t="s">
        <v>376</v>
      </c>
      <c r="G484" s="504" t="s">
        <v>923</v>
      </c>
      <c r="H484" s="409" t="s">
        <v>923</v>
      </c>
      <c r="I484" s="563"/>
      <c r="J484" s="212" t="s">
        <v>922</v>
      </c>
      <c r="K484" s="212" t="s">
        <v>605</v>
      </c>
      <c r="L484" s="337" t="s">
        <v>374</v>
      </c>
    </row>
    <row r="485" spans="1:12" x14ac:dyDescent="0.45">
      <c r="A485" s="687"/>
      <c r="B485" s="137" t="s">
        <v>429</v>
      </c>
      <c r="C485" s="132" t="str">
        <f>CONCATENATE("0x", DEC2HEX(13+HEX2DEC('inicio zonas'!$C$18)))</f>
        <v>0x11D</v>
      </c>
      <c r="D485" s="136"/>
      <c r="E485" s="165"/>
      <c r="F485" s="137" t="s">
        <v>431</v>
      </c>
      <c r="G485" s="342" t="s">
        <v>923</v>
      </c>
      <c r="H485" s="407" t="s">
        <v>923</v>
      </c>
      <c r="I485" s="563"/>
      <c r="J485" s="298" t="s">
        <v>922</v>
      </c>
      <c r="K485" s="205" t="s">
        <v>605</v>
      </c>
      <c r="L485" s="338">
        <v>0</v>
      </c>
    </row>
    <row r="486" spans="1:12" x14ac:dyDescent="0.45">
      <c r="A486" s="676"/>
      <c r="B486" s="133" t="s">
        <v>430</v>
      </c>
      <c r="C486" s="132" t="str">
        <f>CONCATENATE("0x", DEC2HEX(14+HEX2DEC('inicio zonas'!$C$18)))</f>
        <v>0x11E</v>
      </c>
      <c r="D486" s="134"/>
      <c r="E486" s="172"/>
      <c r="F486" s="137" t="s">
        <v>432</v>
      </c>
      <c r="G486" s="514" t="s">
        <v>923</v>
      </c>
      <c r="H486" s="376" t="s">
        <v>923</v>
      </c>
      <c r="I486" s="596"/>
      <c r="J486" s="205" t="s">
        <v>922</v>
      </c>
      <c r="K486" s="212" t="s">
        <v>605</v>
      </c>
      <c r="L486" s="337">
        <v>0</v>
      </c>
    </row>
    <row r="487" spans="1:12" x14ac:dyDescent="0.45">
      <c r="G487" s="504"/>
      <c r="H487" s="276"/>
      <c r="I487" s="123"/>
      <c r="J487" s="120"/>
      <c r="K487" s="120"/>
      <c r="L487" s="292"/>
    </row>
    <row r="488" spans="1:12" ht="15" customHeight="1" x14ac:dyDescent="0.45">
      <c r="A488" s="686" t="s">
        <v>611</v>
      </c>
      <c r="B488" s="43" t="s">
        <v>613</v>
      </c>
      <c r="C488" s="121" t="str">
        <f>CONCATENATE("0x", DEC2HEX(16+HEX2DEC('inicio zonas'!$C$18)))</f>
        <v>0x120</v>
      </c>
      <c r="D488" s="105"/>
      <c r="E488" s="169"/>
      <c r="F488" s="126"/>
      <c r="G488" s="501"/>
      <c r="H488" s="408"/>
      <c r="I488" s="572"/>
      <c r="J488" s="216"/>
      <c r="K488" s="216"/>
      <c r="L488" s="312"/>
    </row>
    <row r="489" spans="1:12" x14ac:dyDescent="0.45">
      <c r="A489" s="687"/>
      <c r="B489" s="148">
        <v>0</v>
      </c>
      <c r="C489" s="28" t="str">
        <f>CONCATENATE(".bit ", B489)</f>
        <v>.bit 0</v>
      </c>
      <c r="D489" s="677" t="s">
        <v>348</v>
      </c>
      <c r="E489" s="158" t="str">
        <f>CONCATENATE($C$488,DEC2HEX(B489))</f>
        <v>0x1200</v>
      </c>
      <c r="F489" s="665" t="s">
        <v>367</v>
      </c>
      <c r="G489" s="666" t="s">
        <v>923</v>
      </c>
      <c r="H489" s="669" t="s">
        <v>923</v>
      </c>
      <c r="I489" s="488"/>
      <c r="J489" s="669" t="s">
        <v>922</v>
      </c>
      <c r="K489" s="668" t="s">
        <v>605</v>
      </c>
      <c r="L489" s="667">
        <v>0</v>
      </c>
    </row>
    <row r="490" spans="1:12" x14ac:dyDescent="0.45">
      <c r="A490" s="687"/>
      <c r="B490" s="148">
        <f>B489+1</f>
        <v>1</v>
      </c>
      <c r="C490" s="28" t="str">
        <f t="shared" ref="C490:C504" si="68">CONCATENATE(".bit ", B490)</f>
        <v>.bit 1</v>
      </c>
      <c r="D490" s="677"/>
      <c r="E490" s="158" t="str">
        <f t="shared" ref="E490:E504" si="69">CONCATENATE($C$488,DEC2HEX(B490))</f>
        <v>0x1201</v>
      </c>
      <c r="F490" s="665"/>
      <c r="G490" s="666"/>
      <c r="H490" s="669"/>
      <c r="I490" s="488"/>
      <c r="J490" s="669"/>
      <c r="K490" s="668"/>
      <c r="L490" s="667"/>
    </row>
    <row r="491" spans="1:12" x14ac:dyDescent="0.45">
      <c r="A491" s="687"/>
      <c r="B491" s="148">
        <f t="shared" ref="B491:B504" si="70">B490+1</f>
        <v>2</v>
      </c>
      <c r="C491" s="28" t="str">
        <f t="shared" si="68"/>
        <v>.bit 2</v>
      </c>
      <c r="D491" s="677"/>
      <c r="E491" s="158" t="str">
        <f t="shared" si="69"/>
        <v>0x1202</v>
      </c>
      <c r="F491" s="665"/>
      <c r="G491" s="666"/>
      <c r="H491" s="669"/>
      <c r="I491" s="488"/>
      <c r="J491" s="669"/>
      <c r="K491" s="668"/>
      <c r="L491" s="667"/>
    </row>
    <row r="492" spans="1:12" x14ac:dyDescent="0.45">
      <c r="A492" s="687"/>
      <c r="B492" s="148">
        <f t="shared" si="70"/>
        <v>3</v>
      </c>
      <c r="C492" s="28" t="str">
        <f t="shared" si="68"/>
        <v>.bit 3</v>
      </c>
      <c r="D492" s="677"/>
      <c r="E492" s="158" t="str">
        <f t="shared" si="69"/>
        <v>0x1203</v>
      </c>
      <c r="F492" s="665"/>
      <c r="G492" s="666"/>
      <c r="H492" s="669"/>
      <c r="I492" s="488"/>
      <c r="J492" s="669"/>
      <c r="K492" s="668"/>
      <c r="L492" s="667"/>
    </row>
    <row r="493" spans="1:12" x14ac:dyDescent="0.45">
      <c r="A493" s="687"/>
      <c r="B493" s="148">
        <f t="shared" si="70"/>
        <v>4</v>
      </c>
      <c r="C493" s="28" t="str">
        <f t="shared" si="68"/>
        <v>.bit 4</v>
      </c>
      <c r="D493" s="677" t="s">
        <v>349</v>
      </c>
      <c r="E493" s="158" t="str">
        <f t="shared" si="69"/>
        <v>0x1204</v>
      </c>
      <c r="F493" s="665" t="s">
        <v>368</v>
      </c>
      <c r="G493" s="666" t="s">
        <v>923</v>
      </c>
      <c r="H493" s="669" t="s">
        <v>923</v>
      </c>
      <c r="I493" s="488"/>
      <c r="J493" s="669" t="s">
        <v>922</v>
      </c>
      <c r="K493" s="668" t="s">
        <v>605</v>
      </c>
      <c r="L493" s="667">
        <v>0</v>
      </c>
    </row>
    <row r="494" spans="1:12" x14ac:dyDescent="0.45">
      <c r="A494" s="687"/>
      <c r="B494" s="148">
        <f t="shared" si="70"/>
        <v>5</v>
      </c>
      <c r="C494" s="28" t="str">
        <f t="shared" si="68"/>
        <v>.bit 5</v>
      </c>
      <c r="D494" s="677"/>
      <c r="E494" s="158" t="str">
        <f t="shared" si="69"/>
        <v>0x1205</v>
      </c>
      <c r="F494" s="665"/>
      <c r="G494" s="666"/>
      <c r="H494" s="669"/>
      <c r="I494" s="488"/>
      <c r="J494" s="669"/>
      <c r="K494" s="668"/>
      <c r="L494" s="667"/>
    </row>
    <row r="495" spans="1:12" x14ac:dyDescent="0.45">
      <c r="A495" s="687"/>
      <c r="B495" s="148">
        <f t="shared" si="70"/>
        <v>6</v>
      </c>
      <c r="C495" s="28" t="str">
        <f t="shared" si="68"/>
        <v>.bit 6</v>
      </c>
      <c r="D495" s="677"/>
      <c r="E495" s="158" t="str">
        <f t="shared" si="69"/>
        <v>0x1206</v>
      </c>
      <c r="F495" s="665"/>
      <c r="G495" s="666"/>
      <c r="H495" s="669"/>
      <c r="I495" s="488"/>
      <c r="J495" s="669"/>
      <c r="K495" s="668"/>
      <c r="L495" s="667"/>
    </row>
    <row r="496" spans="1:12" x14ac:dyDescent="0.45">
      <c r="A496" s="687"/>
      <c r="B496" s="148">
        <f t="shared" si="70"/>
        <v>7</v>
      </c>
      <c r="C496" s="28" t="str">
        <f t="shared" si="68"/>
        <v>.bit 7</v>
      </c>
      <c r="D496" s="677"/>
      <c r="E496" s="158" t="str">
        <f t="shared" si="69"/>
        <v>0x1207</v>
      </c>
      <c r="F496" s="665"/>
      <c r="G496" s="666"/>
      <c r="H496" s="669"/>
      <c r="I496" s="488"/>
      <c r="J496" s="669"/>
      <c r="K496" s="668"/>
      <c r="L496" s="667"/>
    </row>
    <row r="497" spans="1:12" x14ac:dyDescent="0.45">
      <c r="A497" s="687"/>
      <c r="B497" s="148">
        <f t="shared" si="70"/>
        <v>8</v>
      </c>
      <c r="C497" s="28" t="str">
        <f t="shared" si="68"/>
        <v>.bit 8</v>
      </c>
      <c r="D497" s="677" t="s">
        <v>350</v>
      </c>
      <c r="E497" s="158" t="str">
        <f t="shared" si="69"/>
        <v>0x1208</v>
      </c>
      <c r="F497" s="665" t="s">
        <v>369</v>
      </c>
      <c r="G497" s="666" t="s">
        <v>923</v>
      </c>
      <c r="H497" s="669" t="s">
        <v>923</v>
      </c>
      <c r="I497" s="488"/>
      <c r="J497" s="669" t="s">
        <v>922</v>
      </c>
      <c r="K497" s="668" t="s">
        <v>605</v>
      </c>
      <c r="L497" s="667">
        <v>0</v>
      </c>
    </row>
    <row r="498" spans="1:12" x14ac:dyDescent="0.45">
      <c r="A498" s="687"/>
      <c r="B498" s="148">
        <f t="shared" si="70"/>
        <v>9</v>
      </c>
      <c r="C498" s="28" t="str">
        <f t="shared" si="68"/>
        <v>.bit 9</v>
      </c>
      <c r="D498" s="677"/>
      <c r="E498" s="158" t="str">
        <f t="shared" si="69"/>
        <v>0x1209</v>
      </c>
      <c r="F498" s="665"/>
      <c r="G498" s="666"/>
      <c r="H498" s="669"/>
      <c r="I498" s="488"/>
      <c r="J498" s="669"/>
      <c r="K498" s="668"/>
      <c r="L498" s="667"/>
    </row>
    <row r="499" spans="1:12" x14ac:dyDescent="0.45">
      <c r="A499" s="687"/>
      <c r="B499" s="148">
        <f t="shared" si="70"/>
        <v>10</v>
      </c>
      <c r="C499" s="28" t="str">
        <f t="shared" si="68"/>
        <v>.bit 10</v>
      </c>
      <c r="D499" s="677"/>
      <c r="E499" s="158" t="str">
        <f t="shared" si="69"/>
        <v>0x120A</v>
      </c>
      <c r="F499" s="665"/>
      <c r="G499" s="666"/>
      <c r="H499" s="669"/>
      <c r="I499" s="488"/>
      <c r="J499" s="669"/>
      <c r="K499" s="668"/>
      <c r="L499" s="667"/>
    </row>
    <row r="500" spans="1:12" x14ac:dyDescent="0.45">
      <c r="A500" s="687"/>
      <c r="B500" s="148">
        <f t="shared" si="70"/>
        <v>11</v>
      </c>
      <c r="C500" s="28" t="str">
        <f t="shared" si="68"/>
        <v>.bit 11</v>
      </c>
      <c r="D500" s="677"/>
      <c r="E500" s="158" t="str">
        <f t="shared" si="69"/>
        <v>0x120B</v>
      </c>
      <c r="F500" s="665"/>
      <c r="G500" s="666"/>
      <c r="H500" s="669"/>
      <c r="I500" s="488"/>
      <c r="J500" s="669"/>
      <c r="K500" s="668"/>
      <c r="L500" s="667"/>
    </row>
    <row r="501" spans="1:12" x14ac:dyDescent="0.45">
      <c r="A501" s="687"/>
      <c r="B501" s="148">
        <f t="shared" si="70"/>
        <v>12</v>
      </c>
      <c r="C501" s="28" t="str">
        <f t="shared" si="68"/>
        <v>.bit 12</v>
      </c>
      <c r="D501" s="173"/>
      <c r="E501" s="158" t="str">
        <f t="shared" si="69"/>
        <v>0x120C</v>
      </c>
      <c r="F501" s="126" t="s">
        <v>687</v>
      </c>
      <c r="G501" s="504"/>
      <c r="H501" s="409"/>
      <c r="I501" s="563"/>
      <c r="J501" s="298"/>
      <c r="K501" s="298"/>
      <c r="L501" s="313"/>
    </row>
    <row r="502" spans="1:12" x14ac:dyDescent="0.45">
      <c r="A502" s="687"/>
      <c r="B502" s="148">
        <f t="shared" si="70"/>
        <v>13</v>
      </c>
      <c r="C502" s="28" t="str">
        <f t="shared" si="68"/>
        <v>.bit 13</v>
      </c>
      <c r="D502" s="173"/>
      <c r="E502" s="158" t="str">
        <f t="shared" si="69"/>
        <v>0x120D</v>
      </c>
      <c r="F502" s="366" t="s">
        <v>686</v>
      </c>
      <c r="G502" s="504"/>
      <c r="H502" s="409"/>
      <c r="I502" s="563"/>
      <c r="J502" s="298"/>
      <c r="K502" s="298"/>
      <c r="L502" s="313"/>
    </row>
    <row r="503" spans="1:12" x14ac:dyDescent="0.45">
      <c r="A503" s="687"/>
      <c r="B503" s="148">
        <f t="shared" si="70"/>
        <v>14</v>
      </c>
      <c r="C503" s="28" t="str">
        <f t="shared" si="68"/>
        <v>.bit 14</v>
      </c>
      <c r="D503" s="201" t="s">
        <v>145</v>
      </c>
      <c r="E503" s="158" t="str">
        <f t="shared" si="69"/>
        <v>0x120E</v>
      </c>
      <c r="F503" s="276" t="s">
        <v>358</v>
      </c>
      <c r="G503" s="504" t="s">
        <v>923</v>
      </c>
      <c r="H503" s="409" t="s">
        <v>923</v>
      </c>
      <c r="I503" s="563"/>
      <c r="J503" s="298" t="s">
        <v>922</v>
      </c>
      <c r="K503" s="298" t="s">
        <v>605</v>
      </c>
      <c r="L503" s="313">
        <v>0</v>
      </c>
    </row>
    <row r="504" spans="1:12" x14ac:dyDescent="0.45">
      <c r="A504" s="687"/>
      <c r="B504" s="45">
        <f t="shared" si="70"/>
        <v>15</v>
      </c>
      <c r="C504" s="46" t="str">
        <f t="shared" si="68"/>
        <v>.bit 15</v>
      </c>
      <c r="D504" s="202" t="s">
        <v>144</v>
      </c>
      <c r="E504" s="158" t="str">
        <f t="shared" si="69"/>
        <v>0x120F</v>
      </c>
      <c r="F504" s="133" t="s">
        <v>357</v>
      </c>
      <c r="G504" s="514" t="s">
        <v>923</v>
      </c>
      <c r="H504" s="376" t="s">
        <v>923</v>
      </c>
      <c r="I504" s="596"/>
      <c r="J504" s="212" t="s">
        <v>922</v>
      </c>
      <c r="K504" s="212" t="s">
        <v>605</v>
      </c>
      <c r="L504" s="335">
        <v>0</v>
      </c>
    </row>
    <row r="505" spans="1:12" x14ac:dyDescent="0.45">
      <c r="A505" s="687"/>
      <c r="B505" s="43" t="s">
        <v>614</v>
      </c>
      <c r="C505" s="121" t="str">
        <f>CONCATENATE("0x", DEC2HEX(17+HEX2DEC('inicio zonas'!$C$18)))</f>
        <v>0x121</v>
      </c>
      <c r="D505" s="105"/>
      <c r="E505" s="169"/>
      <c r="F505" s="126"/>
      <c r="G505" s="501"/>
      <c r="H505" s="408"/>
      <c r="I505" s="572"/>
      <c r="J505" s="216"/>
      <c r="K505" s="216"/>
      <c r="L505" s="312"/>
    </row>
    <row r="506" spans="1:12" x14ac:dyDescent="0.45">
      <c r="A506" s="687"/>
      <c r="B506" s="148">
        <v>0</v>
      </c>
      <c r="C506" s="28" t="str">
        <f>CONCATENATE(".bit ", B506)</f>
        <v>.bit 0</v>
      </c>
      <c r="D506" s="677" t="s">
        <v>351</v>
      </c>
      <c r="E506" s="158" t="str">
        <f>CONCATENATE($C$505,DEC2HEX(B506))</f>
        <v>0x1210</v>
      </c>
      <c r="F506" s="665" t="s">
        <v>370</v>
      </c>
      <c r="G506" s="666" t="s">
        <v>923</v>
      </c>
      <c r="H506" s="669" t="s">
        <v>923</v>
      </c>
      <c r="I506" s="488"/>
      <c r="J506" s="669" t="s">
        <v>922</v>
      </c>
      <c r="K506" s="668" t="s">
        <v>605</v>
      </c>
      <c r="L506" s="667">
        <v>0</v>
      </c>
    </row>
    <row r="507" spans="1:12" x14ac:dyDescent="0.45">
      <c r="A507" s="687"/>
      <c r="B507" s="148">
        <f>B506+1</f>
        <v>1</v>
      </c>
      <c r="C507" s="28" t="str">
        <f t="shared" ref="C507:C521" si="71">CONCATENATE(".bit ", B507)</f>
        <v>.bit 1</v>
      </c>
      <c r="D507" s="677"/>
      <c r="E507" s="158" t="str">
        <f t="shared" ref="E507:E521" si="72">CONCATENATE($C$505,DEC2HEX(B507))</f>
        <v>0x1211</v>
      </c>
      <c r="F507" s="665"/>
      <c r="G507" s="666"/>
      <c r="H507" s="669"/>
      <c r="I507" s="488"/>
      <c r="J507" s="669"/>
      <c r="K507" s="668"/>
      <c r="L507" s="667"/>
    </row>
    <row r="508" spans="1:12" x14ac:dyDescent="0.45">
      <c r="A508" s="687"/>
      <c r="B508" s="148">
        <f t="shared" ref="B508:B521" si="73">B507+1</f>
        <v>2</v>
      </c>
      <c r="C508" s="28" t="str">
        <f t="shared" si="71"/>
        <v>.bit 2</v>
      </c>
      <c r="D508" s="677"/>
      <c r="E508" s="158" t="str">
        <f t="shared" si="72"/>
        <v>0x1212</v>
      </c>
      <c r="F508" s="665"/>
      <c r="G508" s="666"/>
      <c r="H508" s="669"/>
      <c r="I508" s="488"/>
      <c r="J508" s="669"/>
      <c r="K508" s="668"/>
      <c r="L508" s="667"/>
    </row>
    <row r="509" spans="1:12" x14ac:dyDescent="0.45">
      <c r="A509" s="687"/>
      <c r="B509" s="148">
        <f t="shared" si="73"/>
        <v>3</v>
      </c>
      <c r="C509" s="28" t="str">
        <f t="shared" si="71"/>
        <v>.bit 3</v>
      </c>
      <c r="D509" s="677"/>
      <c r="E509" s="158" t="str">
        <f t="shared" si="72"/>
        <v>0x1213</v>
      </c>
      <c r="F509" s="665"/>
      <c r="G509" s="666"/>
      <c r="H509" s="669"/>
      <c r="I509" s="488"/>
      <c r="J509" s="669"/>
      <c r="K509" s="668"/>
      <c r="L509" s="667"/>
    </row>
    <row r="510" spans="1:12" x14ac:dyDescent="0.45">
      <c r="A510" s="687"/>
      <c r="B510" s="148">
        <f t="shared" si="73"/>
        <v>4</v>
      </c>
      <c r="C510" s="28" t="str">
        <f t="shared" si="71"/>
        <v>.bit 4</v>
      </c>
      <c r="D510" s="677" t="s">
        <v>352</v>
      </c>
      <c r="E510" s="158" t="str">
        <f t="shared" si="72"/>
        <v>0x1214</v>
      </c>
      <c r="F510" s="665" t="s">
        <v>371</v>
      </c>
      <c r="G510" s="666" t="s">
        <v>923</v>
      </c>
      <c r="H510" s="669" t="s">
        <v>923</v>
      </c>
      <c r="I510" s="488"/>
      <c r="J510" s="669" t="s">
        <v>922</v>
      </c>
      <c r="K510" s="668" t="s">
        <v>605</v>
      </c>
      <c r="L510" s="667">
        <v>0</v>
      </c>
    </row>
    <row r="511" spans="1:12" x14ac:dyDescent="0.45">
      <c r="A511" s="687"/>
      <c r="B511" s="148">
        <f t="shared" si="73"/>
        <v>5</v>
      </c>
      <c r="C511" s="28" t="str">
        <f t="shared" si="71"/>
        <v>.bit 5</v>
      </c>
      <c r="D511" s="677"/>
      <c r="E511" s="158" t="str">
        <f t="shared" si="72"/>
        <v>0x1215</v>
      </c>
      <c r="F511" s="665"/>
      <c r="G511" s="666"/>
      <c r="H511" s="669"/>
      <c r="I511" s="488"/>
      <c r="J511" s="669"/>
      <c r="K511" s="668"/>
      <c r="L511" s="667"/>
    </row>
    <row r="512" spans="1:12" x14ac:dyDescent="0.45">
      <c r="A512" s="687"/>
      <c r="B512" s="148">
        <f t="shared" si="73"/>
        <v>6</v>
      </c>
      <c r="C512" s="28" t="str">
        <f t="shared" si="71"/>
        <v>.bit 6</v>
      </c>
      <c r="D512" s="677"/>
      <c r="E512" s="158" t="str">
        <f t="shared" si="72"/>
        <v>0x1216</v>
      </c>
      <c r="F512" s="665"/>
      <c r="G512" s="666"/>
      <c r="H512" s="669"/>
      <c r="I512" s="488"/>
      <c r="J512" s="669"/>
      <c r="K512" s="668"/>
      <c r="L512" s="667"/>
    </row>
    <row r="513" spans="1:12" x14ac:dyDescent="0.45">
      <c r="A513" s="687"/>
      <c r="B513" s="148">
        <f t="shared" si="73"/>
        <v>7</v>
      </c>
      <c r="C513" s="28" t="str">
        <f t="shared" si="71"/>
        <v>.bit 7</v>
      </c>
      <c r="D513" s="677"/>
      <c r="E513" s="158" t="str">
        <f t="shared" si="72"/>
        <v>0x1217</v>
      </c>
      <c r="F513" s="665"/>
      <c r="G513" s="666"/>
      <c r="H513" s="669"/>
      <c r="I513" s="488"/>
      <c r="J513" s="669"/>
      <c r="K513" s="668"/>
      <c r="L513" s="667"/>
    </row>
    <row r="514" spans="1:12" x14ac:dyDescent="0.45">
      <c r="A514" s="687"/>
      <c r="B514" s="148">
        <f t="shared" si="73"/>
        <v>8</v>
      </c>
      <c r="C514" s="28" t="str">
        <f t="shared" si="71"/>
        <v>.bit 8</v>
      </c>
      <c r="D514" s="677" t="s">
        <v>353</v>
      </c>
      <c r="E514" s="158" t="str">
        <f t="shared" si="72"/>
        <v>0x1218</v>
      </c>
      <c r="F514" s="665" t="s">
        <v>372</v>
      </c>
      <c r="G514" s="666" t="s">
        <v>923</v>
      </c>
      <c r="H514" s="669" t="s">
        <v>923</v>
      </c>
      <c r="I514" s="488"/>
      <c r="J514" s="669" t="s">
        <v>922</v>
      </c>
      <c r="K514" s="668" t="s">
        <v>605</v>
      </c>
      <c r="L514" s="667">
        <v>0</v>
      </c>
    </row>
    <row r="515" spans="1:12" x14ac:dyDescent="0.45">
      <c r="A515" s="687"/>
      <c r="B515" s="148">
        <f t="shared" si="73"/>
        <v>9</v>
      </c>
      <c r="C515" s="28" t="str">
        <f t="shared" si="71"/>
        <v>.bit 9</v>
      </c>
      <c r="D515" s="677"/>
      <c r="E515" s="158" t="str">
        <f t="shared" si="72"/>
        <v>0x1219</v>
      </c>
      <c r="F515" s="665"/>
      <c r="G515" s="666"/>
      <c r="H515" s="669"/>
      <c r="I515" s="488"/>
      <c r="J515" s="669"/>
      <c r="K515" s="668"/>
      <c r="L515" s="667"/>
    </row>
    <row r="516" spans="1:12" x14ac:dyDescent="0.45">
      <c r="A516" s="687"/>
      <c r="B516" s="148">
        <f t="shared" si="73"/>
        <v>10</v>
      </c>
      <c r="C516" s="28" t="str">
        <f t="shared" si="71"/>
        <v>.bit 10</v>
      </c>
      <c r="D516" s="677"/>
      <c r="E516" s="158" t="str">
        <f t="shared" si="72"/>
        <v>0x121A</v>
      </c>
      <c r="F516" s="665"/>
      <c r="G516" s="666"/>
      <c r="H516" s="669"/>
      <c r="I516" s="488"/>
      <c r="J516" s="669"/>
      <c r="K516" s="668"/>
      <c r="L516" s="667"/>
    </row>
    <row r="517" spans="1:12" x14ac:dyDescent="0.45">
      <c r="A517" s="687"/>
      <c r="B517" s="148">
        <f t="shared" si="73"/>
        <v>11</v>
      </c>
      <c r="C517" s="28" t="str">
        <f t="shared" si="71"/>
        <v>.bit 11</v>
      </c>
      <c r="D517" s="677"/>
      <c r="E517" s="158" t="str">
        <f t="shared" si="72"/>
        <v>0x121B</v>
      </c>
      <c r="F517" s="665"/>
      <c r="G517" s="666"/>
      <c r="H517" s="669"/>
      <c r="I517" s="488"/>
      <c r="J517" s="669"/>
      <c r="K517" s="668"/>
      <c r="L517" s="667"/>
    </row>
    <row r="518" spans="1:12" x14ac:dyDescent="0.45">
      <c r="A518" s="687"/>
      <c r="B518" s="148">
        <f t="shared" si="73"/>
        <v>12</v>
      </c>
      <c r="C518" s="28" t="str">
        <f t="shared" si="71"/>
        <v>.bit 12</v>
      </c>
      <c r="D518" s="677" t="s">
        <v>354</v>
      </c>
      <c r="E518" s="158" t="str">
        <f t="shared" si="72"/>
        <v>0x121C</v>
      </c>
      <c r="F518" s="665" t="s">
        <v>373</v>
      </c>
      <c r="G518" s="666" t="s">
        <v>923</v>
      </c>
      <c r="H518" s="669" t="s">
        <v>923</v>
      </c>
      <c r="I518" s="488"/>
      <c r="J518" s="669" t="s">
        <v>922</v>
      </c>
      <c r="K518" s="668" t="s">
        <v>605</v>
      </c>
      <c r="L518" s="667">
        <v>0</v>
      </c>
    </row>
    <row r="519" spans="1:12" x14ac:dyDescent="0.45">
      <c r="A519" s="687"/>
      <c r="B519" s="148">
        <f t="shared" si="73"/>
        <v>13</v>
      </c>
      <c r="C519" s="28" t="str">
        <f t="shared" si="71"/>
        <v>.bit 13</v>
      </c>
      <c r="D519" s="677"/>
      <c r="E519" s="158" t="str">
        <f t="shared" si="72"/>
        <v>0x121D</v>
      </c>
      <c r="F519" s="665"/>
      <c r="G519" s="666"/>
      <c r="H519" s="669"/>
      <c r="I519" s="488"/>
      <c r="J519" s="669"/>
      <c r="K519" s="668"/>
      <c r="L519" s="667"/>
    </row>
    <row r="520" spans="1:12" x14ac:dyDescent="0.45">
      <c r="A520" s="687"/>
      <c r="B520" s="148">
        <f t="shared" si="73"/>
        <v>14</v>
      </c>
      <c r="C520" s="28" t="str">
        <f t="shared" si="71"/>
        <v>.bit 14</v>
      </c>
      <c r="D520" s="677"/>
      <c r="E520" s="158" t="str">
        <f t="shared" si="72"/>
        <v>0x121E</v>
      </c>
      <c r="F520" s="665"/>
      <c r="G520" s="666"/>
      <c r="H520" s="669"/>
      <c r="I520" s="488"/>
      <c r="J520" s="669"/>
      <c r="K520" s="668"/>
      <c r="L520" s="667"/>
    </row>
    <row r="521" spans="1:12" x14ac:dyDescent="0.45">
      <c r="A521" s="687"/>
      <c r="B521" s="45">
        <f t="shared" si="73"/>
        <v>15</v>
      </c>
      <c r="C521" s="46" t="str">
        <f t="shared" si="71"/>
        <v>.bit 15</v>
      </c>
      <c r="D521" s="680"/>
      <c r="E521" s="158" t="str">
        <f t="shared" si="72"/>
        <v>0x121F</v>
      </c>
      <c r="F521" s="681"/>
      <c r="G521" s="666"/>
      <c r="H521" s="669"/>
      <c r="I521" s="488"/>
      <c r="J521" s="678"/>
      <c r="K521" s="668"/>
      <c r="L521" s="679"/>
    </row>
    <row r="522" spans="1:12" x14ac:dyDescent="0.45">
      <c r="A522" s="687"/>
      <c r="B522" s="137" t="s">
        <v>359</v>
      </c>
      <c r="C522" s="129" t="str">
        <f>CONCATENATE("0x", DEC2HEX(18+HEX2DEC('inicio zonas'!$C$18)))</f>
        <v>0x122</v>
      </c>
      <c r="D522" s="136"/>
      <c r="E522" s="165"/>
      <c r="F522" s="119" t="s">
        <v>365</v>
      </c>
      <c r="G522" s="342" t="s">
        <v>923</v>
      </c>
      <c r="H522" s="407" t="s">
        <v>923</v>
      </c>
      <c r="I522" s="563"/>
      <c r="J522" s="298" t="s">
        <v>922</v>
      </c>
      <c r="K522" s="205" t="s">
        <v>605</v>
      </c>
      <c r="L522" s="313">
        <v>0</v>
      </c>
    </row>
    <row r="523" spans="1:12" x14ac:dyDescent="0.45">
      <c r="A523" s="687"/>
      <c r="B523" s="137" t="s">
        <v>360</v>
      </c>
      <c r="C523" s="129" t="str">
        <f>CONCATENATE("0x", DEC2HEX(19+HEX2DEC('inicio zonas'!$C$18)))</f>
        <v>0x123</v>
      </c>
      <c r="D523" s="136"/>
      <c r="E523" s="165"/>
      <c r="F523" s="137" t="s">
        <v>366</v>
      </c>
      <c r="G523" s="504" t="s">
        <v>923</v>
      </c>
      <c r="H523" s="409" t="s">
        <v>923</v>
      </c>
      <c r="I523" s="563"/>
      <c r="J523" s="205" t="s">
        <v>922</v>
      </c>
      <c r="K523" s="205" t="s">
        <v>605</v>
      </c>
      <c r="L523" s="334">
        <v>0</v>
      </c>
    </row>
    <row r="524" spans="1:12" x14ac:dyDescent="0.45">
      <c r="A524" s="687"/>
      <c r="B524" s="126" t="s">
        <v>361</v>
      </c>
      <c r="C524" s="121" t="str">
        <f>CONCATENATE("0x", DEC2HEX(20+HEX2DEC('inicio zonas'!$C$18)))</f>
        <v>0x124</v>
      </c>
      <c r="D524" s="130"/>
      <c r="E524" s="170"/>
      <c r="F524" s="126"/>
      <c r="G524" s="501"/>
      <c r="H524" s="408"/>
      <c r="I524" s="572"/>
      <c r="J524" s="216"/>
      <c r="K524" s="216"/>
      <c r="L524" s="312"/>
    </row>
    <row r="525" spans="1:12" x14ac:dyDescent="0.45">
      <c r="A525" s="687"/>
      <c r="B525" s="124"/>
      <c r="C525" s="119" t="s">
        <v>362</v>
      </c>
      <c r="D525" s="120" t="s">
        <v>363</v>
      </c>
      <c r="E525" s="171"/>
      <c r="F525" s="276" t="s">
        <v>375</v>
      </c>
      <c r="G525" s="504" t="s">
        <v>923</v>
      </c>
      <c r="H525" s="409" t="s">
        <v>923</v>
      </c>
      <c r="I525" s="563"/>
      <c r="J525" s="298" t="s">
        <v>922</v>
      </c>
      <c r="K525" s="298" t="s">
        <v>605</v>
      </c>
      <c r="L525" s="336" t="s">
        <v>374</v>
      </c>
    </row>
    <row r="526" spans="1:12" x14ac:dyDescent="0.45">
      <c r="A526" s="687"/>
      <c r="B526" s="133"/>
      <c r="C526" s="131" t="s">
        <v>339</v>
      </c>
      <c r="D526" s="134" t="s">
        <v>364</v>
      </c>
      <c r="E526" s="172"/>
      <c r="F526" s="133" t="s">
        <v>376</v>
      </c>
      <c r="G526" s="504" t="s">
        <v>923</v>
      </c>
      <c r="H526" s="409" t="s">
        <v>923</v>
      </c>
      <c r="I526" s="563"/>
      <c r="J526" s="212" t="s">
        <v>922</v>
      </c>
      <c r="K526" s="212" t="s">
        <v>605</v>
      </c>
      <c r="L526" s="337" t="s">
        <v>374</v>
      </c>
    </row>
    <row r="527" spans="1:12" x14ac:dyDescent="0.45">
      <c r="A527" s="687"/>
      <c r="B527" s="137" t="s">
        <v>429</v>
      </c>
      <c r="C527" s="129" t="str">
        <f>CONCATENATE("0x", DEC2HEX(21+HEX2DEC('inicio zonas'!$C$18)))</f>
        <v>0x125</v>
      </c>
      <c r="D527" s="136"/>
      <c r="E527" s="165"/>
      <c r="F527" s="137" t="s">
        <v>431</v>
      </c>
      <c r="G527" s="342" t="s">
        <v>923</v>
      </c>
      <c r="H527" s="407" t="s">
        <v>923</v>
      </c>
      <c r="I527" s="563"/>
      <c r="J527" s="298" t="s">
        <v>922</v>
      </c>
      <c r="K527" s="205" t="s">
        <v>605</v>
      </c>
      <c r="L527" s="338">
        <v>0</v>
      </c>
    </row>
    <row r="528" spans="1:12" x14ac:dyDescent="0.45">
      <c r="A528" s="676"/>
      <c r="B528" s="124" t="s">
        <v>430</v>
      </c>
      <c r="C528" s="139" t="str">
        <f>CONCATENATE("0x", DEC2HEX(22+HEX2DEC('inicio zonas'!$C$18)))</f>
        <v>0x126</v>
      </c>
      <c r="D528" s="120"/>
      <c r="E528" s="171"/>
      <c r="F528" s="276" t="s">
        <v>432</v>
      </c>
      <c r="G528" s="514" t="s">
        <v>923</v>
      </c>
      <c r="H528" s="376" t="s">
        <v>923</v>
      </c>
      <c r="I528" s="596"/>
      <c r="J528" s="205" t="s">
        <v>922</v>
      </c>
      <c r="K528" s="212" t="s">
        <v>605</v>
      </c>
      <c r="L528" s="337">
        <v>0</v>
      </c>
    </row>
    <row r="529" spans="1:12" x14ac:dyDescent="0.45">
      <c r="A529" s="200"/>
      <c r="B529" s="83"/>
      <c r="C529" s="143"/>
      <c r="D529" s="60"/>
      <c r="E529" s="108"/>
      <c r="F529" s="189"/>
      <c r="G529" s="339"/>
      <c r="H529" s="189"/>
      <c r="I529" s="597"/>
      <c r="J529" s="107"/>
      <c r="K529" s="107"/>
      <c r="L529" s="301"/>
    </row>
    <row r="530" spans="1:12" ht="15" customHeight="1" x14ac:dyDescent="0.45">
      <c r="A530" s="686" t="s">
        <v>612</v>
      </c>
      <c r="B530" s="43" t="s">
        <v>616</v>
      </c>
      <c r="C530" s="121" t="str">
        <f>CONCATENATE("0x", DEC2HEX(16+8+HEX2DEC('inicio zonas'!$C$18)))</f>
        <v>0x128</v>
      </c>
      <c r="D530" s="105"/>
      <c r="E530" s="169"/>
      <c r="F530" s="126"/>
      <c r="G530" s="501"/>
      <c r="H530" s="408"/>
      <c r="I530" s="572"/>
      <c r="J530" s="216"/>
      <c r="K530" s="216"/>
      <c r="L530" s="312"/>
    </row>
    <row r="531" spans="1:12" x14ac:dyDescent="0.45">
      <c r="A531" s="687"/>
      <c r="B531" s="148">
        <v>0</v>
      </c>
      <c r="C531" s="28" t="str">
        <f>CONCATENATE(".bit ", B531)</f>
        <v>.bit 0</v>
      </c>
      <c r="D531" s="677" t="s">
        <v>348</v>
      </c>
      <c r="E531" s="158" t="str">
        <f>CONCATENATE($C$530,DEC2HEX(B531))</f>
        <v>0x1280</v>
      </c>
      <c r="F531" s="665" t="s">
        <v>367</v>
      </c>
      <c r="G531" s="666" t="s">
        <v>923</v>
      </c>
      <c r="H531" s="669" t="s">
        <v>923</v>
      </c>
      <c r="I531" s="488"/>
      <c r="J531" s="669" t="s">
        <v>922</v>
      </c>
      <c r="K531" s="668" t="s">
        <v>605</v>
      </c>
      <c r="L531" s="667">
        <v>0</v>
      </c>
    </row>
    <row r="532" spans="1:12" x14ac:dyDescent="0.45">
      <c r="A532" s="687"/>
      <c r="B532" s="148">
        <f>B531+1</f>
        <v>1</v>
      </c>
      <c r="C532" s="28" t="str">
        <f t="shared" ref="C532:C546" si="74">CONCATENATE(".bit ", B532)</f>
        <v>.bit 1</v>
      </c>
      <c r="D532" s="677"/>
      <c r="E532" s="158" t="str">
        <f t="shared" ref="E532:E546" si="75">CONCATENATE($C$530,DEC2HEX(B532))</f>
        <v>0x1281</v>
      </c>
      <c r="F532" s="665"/>
      <c r="G532" s="666"/>
      <c r="H532" s="669"/>
      <c r="I532" s="488"/>
      <c r="J532" s="669"/>
      <c r="K532" s="668"/>
      <c r="L532" s="667"/>
    </row>
    <row r="533" spans="1:12" x14ac:dyDescent="0.45">
      <c r="A533" s="687"/>
      <c r="B533" s="148">
        <f t="shared" ref="B533:B546" si="76">B532+1</f>
        <v>2</v>
      </c>
      <c r="C533" s="28" t="str">
        <f t="shared" si="74"/>
        <v>.bit 2</v>
      </c>
      <c r="D533" s="677"/>
      <c r="E533" s="158" t="str">
        <f t="shared" si="75"/>
        <v>0x1282</v>
      </c>
      <c r="F533" s="665"/>
      <c r="G533" s="666"/>
      <c r="H533" s="669"/>
      <c r="I533" s="488"/>
      <c r="J533" s="669"/>
      <c r="K533" s="668"/>
      <c r="L533" s="667"/>
    </row>
    <row r="534" spans="1:12" x14ac:dyDescent="0.45">
      <c r="A534" s="687"/>
      <c r="B534" s="148">
        <f t="shared" si="76"/>
        <v>3</v>
      </c>
      <c r="C534" s="28" t="str">
        <f t="shared" si="74"/>
        <v>.bit 3</v>
      </c>
      <c r="D534" s="677"/>
      <c r="E534" s="158" t="str">
        <f t="shared" si="75"/>
        <v>0x1283</v>
      </c>
      <c r="F534" s="665"/>
      <c r="G534" s="666"/>
      <c r="H534" s="669"/>
      <c r="I534" s="488"/>
      <c r="J534" s="669"/>
      <c r="K534" s="668"/>
      <c r="L534" s="667"/>
    </row>
    <row r="535" spans="1:12" x14ac:dyDescent="0.45">
      <c r="A535" s="687"/>
      <c r="B535" s="148">
        <f t="shared" si="76"/>
        <v>4</v>
      </c>
      <c r="C535" s="28" t="str">
        <f t="shared" si="74"/>
        <v>.bit 4</v>
      </c>
      <c r="D535" s="677" t="s">
        <v>349</v>
      </c>
      <c r="E535" s="158" t="str">
        <f t="shared" si="75"/>
        <v>0x1284</v>
      </c>
      <c r="F535" s="665" t="s">
        <v>368</v>
      </c>
      <c r="G535" s="666" t="s">
        <v>923</v>
      </c>
      <c r="H535" s="669" t="s">
        <v>923</v>
      </c>
      <c r="I535" s="488"/>
      <c r="J535" s="669" t="s">
        <v>922</v>
      </c>
      <c r="K535" s="668" t="s">
        <v>605</v>
      </c>
      <c r="L535" s="667">
        <v>0</v>
      </c>
    </row>
    <row r="536" spans="1:12" x14ac:dyDescent="0.45">
      <c r="A536" s="687"/>
      <c r="B536" s="148">
        <f t="shared" si="76"/>
        <v>5</v>
      </c>
      <c r="C536" s="28" t="str">
        <f t="shared" si="74"/>
        <v>.bit 5</v>
      </c>
      <c r="D536" s="677"/>
      <c r="E536" s="158" t="str">
        <f t="shared" si="75"/>
        <v>0x1285</v>
      </c>
      <c r="F536" s="665"/>
      <c r="G536" s="666"/>
      <c r="H536" s="669"/>
      <c r="I536" s="488"/>
      <c r="J536" s="669"/>
      <c r="K536" s="668"/>
      <c r="L536" s="667"/>
    </row>
    <row r="537" spans="1:12" x14ac:dyDescent="0.45">
      <c r="A537" s="687"/>
      <c r="B537" s="148">
        <f t="shared" si="76"/>
        <v>6</v>
      </c>
      <c r="C537" s="28" t="str">
        <f t="shared" si="74"/>
        <v>.bit 6</v>
      </c>
      <c r="D537" s="677"/>
      <c r="E537" s="158" t="str">
        <f t="shared" si="75"/>
        <v>0x1286</v>
      </c>
      <c r="F537" s="665"/>
      <c r="G537" s="666"/>
      <c r="H537" s="669"/>
      <c r="I537" s="488"/>
      <c r="J537" s="669"/>
      <c r="K537" s="668"/>
      <c r="L537" s="667"/>
    </row>
    <row r="538" spans="1:12" x14ac:dyDescent="0.45">
      <c r="A538" s="687"/>
      <c r="B538" s="148">
        <f t="shared" si="76"/>
        <v>7</v>
      </c>
      <c r="C538" s="28" t="str">
        <f t="shared" si="74"/>
        <v>.bit 7</v>
      </c>
      <c r="D538" s="677"/>
      <c r="E538" s="158" t="str">
        <f t="shared" si="75"/>
        <v>0x1287</v>
      </c>
      <c r="F538" s="665"/>
      <c r="G538" s="666"/>
      <c r="H538" s="669"/>
      <c r="I538" s="488"/>
      <c r="J538" s="669"/>
      <c r="K538" s="668"/>
      <c r="L538" s="667"/>
    </row>
    <row r="539" spans="1:12" x14ac:dyDescent="0.45">
      <c r="A539" s="687"/>
      <c r="B539" s="148">
        <f t="shared" si="76"/>
        <v>8</v>
      </c>
      <c r="C539" s="28" t="str">
        <f t="shared" si="74"/>
        <v>.bit 8</v>
      </c>
      <c r="D539" s="677" t="s">
        <v>350</v>
      </c>
      <c r="E539" s="158" t="str">
        <f t="shared" si="75"/>
        <v>0x1288</v>
      </c>
      <c r="F539" s="665" t="s">
        <v>369</v>
      </c>
      <c r="G539" s="666" t="s">
        <v>923</v>
      </c>
      <c r="H539" s="669" t="s">
        <v>923</v>
      </c>
      <c r="I539" s="488"/>
      <c r="J539" s="669" t="s">
        <v>922</v>
      </c>
      <c r="K539" s="668" t="s">
        <v>605</v>
      </c>
      <c r="L539" s="667">
        <v>0</v>
      </c>
    </row>
    <row r="540" spans="1:12" x14ac:dyDescent="0.45">
      <c r="A540" s="687"/>
      <c r="B540" s="148">
        <f t="shared" si="76"/>
        <v>9</v>
      </c>
      <c r="C540" s="28" t="str">
        <f t="shared" si="74"/>
        <v>.bit 9</v>
      </c>
      <c r="D540" s="677"/>
      <c r="E540" s="158" t="str">
        <f t="shared" si="75"/>
        <v>0x1289</v>
      </c>
      <c r="F540" s="665"/>
      <c r="G540" s="666"/>
      <c r="H540" s="669"/>
      <c r="I540" s="488"/>
      <c r="J540" s="669"/>
      <c r="K540" s="668"/>
      <c r="L540" s="667"/>
    </row>
    <row r="541" spans="1:12" x14ac:dyDescent="0.45">
      <c r="A541" s="687"/>
      <c r="B541" s="148">
        <f t="shared" si="76"/>
        <v>10</v>
      </c>
      <c r="C541" s="28" t="str">
        <f t="shared" si="74"/>
        <v>.bit 10</v>
      </c>
      <c r="D541" s="677"/>
      <c r="E541" s="158" t="str">
        <f t="shared" si="75"/>
        <v>0x128A</v>
      </c>
      <c r="F541" s="665"/>
      <c r="G541" s="666"/>
      <c r="H541" s="669"/>
      <c r="I541" s="488"/>
      <c r="J541" s="669"/>
      <c r="K541" s="668"/>
      <c r="L541" s="667"/>
    </row>
    <row r="542" spans="1:12" x14ac:dyDescent="0.45">
      <c r="A542" s="687"/>
      <c r="B542" s="148">
        <f t="shared" si="76"/>
        <v>11</v>
      </c>
      <c r="C542" s="28" t="str">
        <f t="shared" si="74"/>
        <v>.bit 11</v>
      </c>
      <c r="D542" s="677"/>
      <c r="E542" s="158" t="str">
        <f t="shared" si="75"/>
        <v>0x128B</v>
      </c>
      <c r="F542" s="665"/>
      <c r="G542" s="666"/>
      <c r="H542" s="669"/>
      <c r="I542" s="488"/>
      <c r="J542" s="669"/>
      <c r="K542" s="668"/>
      <c r="L542" s="667"/>
    </row>
    <row r="543" spans="1:12" x14ac:dyDescent="0.45">
      <c r="A543" s="687"/>
      <c r="B543" s="148">
        <f t="shared" si="76"/>
        <v>12</v>
      </c>
      <c r="C543" s="28" t="str">
        <f t="shared" si="74"/>
        <v>.bit 12</v>
      </c>
      <c r="D543" s="173"/>
      <c r="E543" s="158" t="str">
        <f t="shared" si="75"/>
        <v>0x128C</v>
      </c>
      <c r="F543" s="276"/>
      <c r="G543" s="504"/>
      <c r="H543" s="409"/>
      <c r="I543" s="563"/>
      <c r="J543" s="298"/>
      <c r="K543" s="298"/>
      <c r="L543" s="313"/>
    </row>
    <row r="544" spans="1:12" x14ac:dyDescent="0.45">
      <c r="A544" s="687"/>
      <c r="B544" s="148">
        <f t="shared" si="76"/>
        <v>13</v>
      </c>
      <c r="C544" s="28" t="str">
        <f t="shared" si="74"/>
        <v>.bit 13</v>
      </c>
      <c r="D544" s="173"/>
      <c r="E544" s="158" t="str">
        <f t="shared" si="75"/>
        <v>0x128D</v>
      </c>
      <c r="F544" s="276"/>
      <c r="G544" s="504"/>
      <c r="H544" s="409"/>
      <c r="I544" s="563"/>
      <c r="J544" s="298"/>
      <c r="K544" s="298"/>
      <c r="L544" s="313"/>
    </row>
    <row r="545" spans="1:12" x14ac:dyDescent="0.45">
      <c r="A545" s="687"/>
      <c r="B545" s="148">
        <f t="shared" si="76"/>
        <v>14</v>
      </c>
      <c r="C545" s="28" t="str">
        <f t="shared" si="74"/>
        <v>.bit 14</v>
      </c>
      <c r="D545" s="201" t="s">
        <v>145</v>
      </c>
      <c r="E545" s="158" t="str">
        <f t="shared" si="75"/>
        <v>0x128E</v>
      </c>
      <c r="F545" s="276" t="s">
        <v>358</v>
      </c>
      <c r="G545" s="504" t="s">
        <v>923</v>
      </c>
      <c r="H545" s="409" t="s">
        <v>923</v>
      </c>
      <c r="I545" s="563"/>
      <c r="J545" s="298" t="s">
        <v>922</v>
      </c>
      <c r="K545" s="298" t="s">
        <v>605</v>
      </c>
      <c r="L545" s="313">
        <v>0</v>
      </c>
    </row>
    <row r="546" spans="1:12" x14ac:dyDescent="0.45">
      <c r="A546" s="687"/>
      <c r="B546" s="45">
        <f t="shared" si="76"/>
        <v>15</v>
      </c>
      <c r="C546" s="46" t="str">
        <f t="shared" si="74"/>
        <v>.bit 15</v>
      </c>
      <c r="D546" s="202" t="s">
        <v>144</v>
      </c>
      <c r="E546" s="158" t="str">
        <f t="shared" si="75"/>
        <v>0x128F</v>
      </c>
      <c r="F546" s="133" t="s">
        <v>357</v>
      </c>
      <c r="G546" s="514" t="s">
        <v>923</v>
      </c>
      <c r="H546" s="376" t="s">
        <v>923</v>
      </c>
      <c r="I546" s="596"/>
      <c r="J546" s="212" t="s">
        <v>922</v>
      </c>
      <c r="K546" s="212" t="s">
        <v>605</v>
      </c>
      <c r="L546" s="335">
        <v>0</v>
      </c>
    </row>
    <row r="547" spans="1:12" x14ac:dyDescent="0.45">
      <c r="A547" s="687"/>
      <c r="B547" s="43" t="s">
        <v>615</v>
      </c>
      <c r="C547" s="121" t="str">
        <f>CONCATENATE("0x", DEC2HEX(16+9+HEX2DEC('inicio zonas'!$C$18)))</f>
        <v>0x129</v>
      </c>
      <c r="D547" s="105"/>
      <c r="E547" s="169"/>
      <c r="F547" s="126"/>
      <c r="G547" s="501"/>
      <c r="H547" s="408"/>
      <c r="I547" s="572"/>
      <c r="J547" s="216"/>
      <c r="K547" s="216"/>
      <c r="L547" s="312"/>
    </row>
    <row r="548" spans="1:12" x14ac:dyDescent="0.45">
      <c r="A548" s="687"/>
      <c r="B548" s="148">
        <v>0</v>
      </c>
      <c r="C548" s="28" t="str">
        <f>CONCATENATE(".bit ", B548)</f>
        <v>.bit 0</v>
      </c>
      <c r="D548" s="677" t="s">
        <v>351</v>
      </c>
      <c r="E548" s="158" t="str">
        <f>CONCATENATE($C$547,DEC2HEX(B548))</f>
        <v>0x1290</v>
      </c>
      <c r="F548" s="665" t="s">
        <v>370</v>
      </c>
      <c r="G548" s="666" t="s">
        <v>923</v>
      </c>
      <c r="H548" s="669" t="s">
        <v>923</v>
      </c>
      <c r="I548" s="488"/>
      <c r="J548" s="669" t="s">
        <v>922</v>
      </c>
      <c r="K548" s="668" t="s">
        <v>605</v>
      </c>
      <c r="L548" s="667">
        <v>0</v>
      </c>
    </row>
    <row r="549" spans="1:12" x14ac:dyDescent="0.45">
      <c r="A549" s="687"/>
      <c r="B549" s="148">
        <f>B548+1</f>
        <v>1</v>
      </c>
      <c r="C549" s="28" t="str">
        <f t="shared" ref="C549:C563" si="77">CONCATENATE(".bit ", B549)</f>
        <v>.bit 1</v>
      </c>
      <c r="D549" s="677"/>
      <c r="E549" s="158" t="str">
        <f t="shared" ref="E549:E563" si="78">CONCATENATE($C$547,DEC2HEX(B549))</f>
        <v>0x1291</v>
      </c>
      <c r="F549" s="665"/>
      <c r="G549" s="666"/>
      <c r="H549" s="669"/>
      <c r="I549" s="488"/>
      <c r="J549" s="669"/>
      <c r="K549" s="668"/>
      <c r="L549" s="667"/>
    </row>
    <row r="550" spans="1:12" x14ac:dyDescent="0.45">
      <c r="A550" s="687"/>
      <c r="B550" s="148">
        <f t="shared" ref="B550:B563" si="79">B549+1</f>
        <v>2</v>
      </c>
      <c r="C550" s="28" t="str">
        <f t="shared" si="77"/>
        <v>.bit 2</v>
      </c>
      <c r="D550" s="677"/>
      <c r="E550" s="158" t="str">
        <f t="shared" si="78"/>
        <v>0x1292</v>
      </c>
      <c r="F550" s="665"/>
      <c r="G550" s="666"/>
      <c r="H550" s="669"/>
      <c r="I550" s="488"/>
      <c r="J550" s="669"/>
      <c r="K550" s="668"/>
      <c r="L550" s="667"/>
    </row>
    <row r="551" spans="1:12" x14ac:dyDescent="0.45">
      <c r="A551" s="687"/>
      <c r="B551" s="148">
        <f t="shared" si="79"/>
        <v>3</v>
      </c>
      <c r="C551" s="28" t="str">
        <f t="shared" si="77"/>
        <v>.bit 3</v>
      </c>
      <c r="D551" s="677"/>
      <c r="E551" s="158" t="str">
        <f t="shared" si="78"/>
        <v>0x1293</v>
      </c>
      <c r="F551" s="665"/>
      <c r="G551" s="666"/>
      <c r="H551" s="669"/>
      <c r="I551" s="488"/>
      <c r="J551" s="669"/>
      <c r="K551" s="668"/>
      <c r="L551" s="667"/>
    </row>
    <row r="552" spans="1:12" x14ac:dyDescent="0.45">
      <c r="A552" s="687"/>
      <c r="B552" s="148">
        <f t="shared" si="79"/>
        <v>4</v>
      </c>
      <c r="C552" s="28" t="str">
        <f t="shared" si="77"/>
        <v>.bit 4</v>
      </c>
      <c r="D552" s="677" t="s">
        <v>352</v>
      </c>
      <c r="E552" s="158" t="str">
        <f t="shared" si="78"/>
        <v>0x1294</v>
      </c>
      <c r="F552" s="665" t="s">
        <v>371</v>
      </c>
      <c r="G552" s="666" t="s">
        <v>923</v>
      </c>
      <c r="H552" s="669" t="s">
        <v>923</v>
      </c>
      <c r="I552" s="488"/>
      <c r="J552" s="669" t="s">
        <v>922</v>
      </c>
      <c r="K552" s="668" t="s">
        <v>605</v>
      </c>
      <c r="L552" s="667">
        <v>0</v>
      </c>
    </row>
    <row r="553" spans="1:12" x14ac:dyDescent="0.45">
      <c r="A553" s="687"/>
      <c r="B553" s="148">
        <f t="shared" si="79"/>
        <v>5</v>
      </c>
      <c r="C553" s="28" t="str">
        <f t="shared" si="77"/>
        <v>.bit 5</v>
      </c>
      <c r="D553" s="677"/>
      <c r="E553" s="158" t="str">
        <f t="shared" si="78"/>
        <v>0x1295</v>
      </c>
      <c r="F553" s="665"/>
      <c r="G553" s="666"/>
      <c r="H553" s="669"/>
      <c r="I553" s="488"/>
      <c r="J553" s="669"/>
      <c r="K553" s="668"/>
      <c r="L553" s="667"/>
    </row>
    <row r="554" spans="1:12" x14ac:dyDescent="0.45">
      <c r="A554" s="687"/>
      <c r="B554" s="148">
        <f t="shared" si="79"/>
        <v>6</v>
      </c>
      <c r="C554" s="28" t="str">
        <f t="shared" si="77"/>
        <v>.bit 6</v>
      </c>
      <c r="D554" s="677"/>
      <c r="E554" s="158" t="str">
        <f t="shared" si="78"/>
        <v>0x1296</v>
      </c>
      <c r="F554" s="665"/>
      <c r="G554" s="666"/>
      <c r="H554" s="669"/>
      <c r="I554" s="488"/>
      <c r="J554" s="669"/>
      <c r="K554" s="668"/>
      <c r="L554" s="667"/>
    </row>
    <row r="555" spans="1:12" x14ac:dyDescent="0.45">
      <c r="A555" s="687"/>
      <c r="B555" s="148">
        <f t="shared" si="79"/>
        <v>7</v>
      </c>
      <c r="C555" s="28" t="str">
        <f t="shared" si="77"/>
        <v>.bit 7</v>
      </c>
      <c r="D555" s="677"/>
      <c r="E555" s="158" t="str">
        <f t="shared" si="78"/>
        <v>0x1297</v>
      </c>
      <c r="F555" s="665"/>
      <c r="G555" s="666"/>
      <c r="H555" s="669"/>
      <c r="I555" s="488"/>
      <c r="J555" s="669"/>
      <c r="K555" s="668"/>
      <c r="L555" s="667"/>
    </row>
    <row r="556" spans="1:12" x14ac:dyDescent="0.45">
      <c r="A556" s="687"/>
      <c r="B556" s="148">
        <f t="shared" si="79"/>
        <v>8</v>
      </c>
      <c r="C556" s="28" t="str">
        <f t="shared" si="77"/>
        <v>.bit 8</v>
      </c>
      <c r="D556" s="677" t="s">
        <v>353</v>
      </c>
      <c r="E556" s="158" t="str">
        <f t="shared" si="78"/>
        <v>0x1298</v>
      </c>
      <c r="F556" s="665" t="s">
        <v>372</v>
      </c>
      <c r="G556" s="666" t="s">
        <v>923</v>
      </c>
      <c r="H556" s="669" t="s">
        <v>923</v>
      </c>
      <c r="I556" s="488"/>
      <c r="J556" s="669" t="s">
        <v>922</v>
      </c>
      <c r="K556" s="668" t="s">
        <v>605</v>
      </c>
      <c r="L556" s="667">
        <v>0</v>
      </c>
    </row>
    <row r="557" spans="1:12" x14ac:dyDescent="0.45">
      <c r="A557" s="687"/>
      <c r="B557" s="148">
        <f t="shared" si="79"/>
        <v>9</v>
      </c>
      <c r="C557" s="28" t="str">
        <f t="shared" si="77"/>
        <v>.bit 9</v>
      </c>
      <c r="D557" s="677"/>
      <c r="E557" s="158" t="str">
        <f t="shared" si="78"/>
        <v>0x1299</v>
      </c>
      <c r="F557" s="665"/>
      <c r="G557" s="666"/>
      <c r="H557" s="669"/>
      <c r="I557" s="488"/>
      <c r="J557" s="669"/>
      <c r="K557" s="668"/>
      <c r="L557" s="667"/>
    </row>
    <row r="558" spans="1:12" x14ac:dyDescent="0.45">
      <c r="A558" s="687"/>
      <c r="B558" s="148">
        <f t="shared" si="79"/>
        <v>10</v>
      </c>
      <c r="C558" s="28" t="str">
        <f t="shared" si="77"/>
        <v>.bit 10</v>
      </c>
      <c r="D558" s="677"/>
      <c r="E558" s="158" t="str">
        <f t="shared" si="78"/>
        <v>0x129A</v>
      </c>
      <c r="F558" s="665"/>
      <c r="G558" s="666"/>
      <c r="H558" s="669"/>
      <c r="I558" s="488"/>
      <c r="J558" s="669"/>
      <c r="K558" s="668"/>
      <c r="L558" s="667"/>
    </row>
    <row r="559" spans="1:12" x14ac:dyDescent="0.45">
      <c r="A559" s="687"/>
      <c r="B559" s="148">
        <f t="shared" si="79"/>
        <v>11</v>
      </c>
      <c r="C559" s="28" t="str">
        <f t="shared" si="77"/>
        <v>.bit 11</v>
      </c>
      <c r="D559" s="677"/>
      <c r="E559" s="158" t="str">
        <f t="shared" si="78"/>
        <v>0x129B</v>
      </c>
      <c r="F559" s="665"/>
      <c r="G559" s="666"/>
      <c r="H559" s="669"/>
      <c r="I559" s="488"/>
      <c r="J559" s="669"/>
      <c r="K559" s="668"/>
      <c r="L559" s="667"/>
    </row>
    <row r="560" spans="1:12" x14ac:dyDescent="0.45">
      <c r="A560" s="687"/>
      <c r="B560" s="148">
        <f t="shared" si="79"/>
        <v>12</v>
      </c>
      <c r="C560" s="28" t="str">
        <f t="shared" si="77"/>
        <v>.bit 12</v>
      </c>
      <c r="D560" s="677" t="s">
        <v>354</v>
      </c>
      <c r="E560" s="158" t="str">
        <f t="shared" si="78"/>
        <v>0x129C</v>
      </c>
      <c r="F560" s="665" t="s">
        <v>373</v>
      </c>
      <c r="G560" s="666" t="s">
        <v>923</v>
      </c>
      <c r="H560" s="669" t="s">
        <v>923</v>
      </c>
      <c r="I560" s="488"/>
      <c r="J560" s="669" t="s">
        <v>922</v>
      </c>
      <c r="K560" s="668" t="s">
        <v>605</v>
      </c>
      <c r="L560" s="667">
        <v>0</v>
      </c>
    </row>
    <row r="561" spans="1:14" x14ac:dyDescent="0.45">
      <c r="A561" s="687"/>
      <c r="B561" s="148">
        <f t="shared" si="79"/>
        <v>13</v>
      </c>
      <c r="C561" s="28" t="str">
        <f t="shared" si="77"/>
        <v>.bit 13</v>
      </c>
      <c r="D561" s="677"/>
      <c r="E561" s="158" t="str">
        <f t="shared" si="78"/>
        <v>0x129D</v>
      </c>
      <c r="F561" s="665"/>
      <c r="G561" s="666"/>
      <c r="H561" s="669"/>
      <c r="I561" s="488"/>
      <c r="J561" s="669"/>
      <c r="K561" s="668"/>
      <c r="L561" s="667"/>
    </row>
    <row r="562" spans="1:14" x14ac:dyDescent="0.45">
      <c r="A562" s="687"/>
      <c r="B562" s="148">
        <f t="shared" si="79"/>
        <v>14</v>
      </c>
      <c r="C562" s="28" t="str">
        <f t="shared" si="77"/>
        <v>.bit 14</v>
      </c>
      <c r="D562" s="677"/>
      <c r="E562" s="158" t="str">
        <f t="shared" si="78"/>
        <v>0x129E</v>
      </c>
      <c r="F562" s="665"/>
      <c r="G562" s="666"/>
      <c r="H562" s="669"/>
      <c r="I562" s="488"/>
      <c r="J562" s="669"/>
      <c r="K562" s="668"/>
      <c r="L562" s="667"/>
    </row>
    <row r="563" spans="1:14" x14ac:dyDescent="0.45">
      <c r="A563" s="687"/>
      <c r="B563" s="45">
        <f t="shared" si="79"/>
        <v>15</v>
      </c>
      <c r="C563" s="46" t="str">
        <f t="shared" si="77"/>
        <v>.bit 15</v>
      </c>
      <c r="D563" s="680"/>
      <c r="E563" s="158" t="str">
        <f t="shared" si="78"/>
        <v>0x129F</v>
      </c>
      <c r="F563" s="681"/>
      <c r="G563" s="666"/>
      <c r="H563" s="669"/>
      <c r="I563" s="488"/>
      <c r="J563" s="678"/>
      <c r="K563" s="668"/>
      <c r="L563" s="679"/>
    </row>
    <row r="564" spans="1:14" x14ac:dyDescent="0.45">
      <c r="A564" s="687"/>
      <c r="B564" s="137" t="s">
        <v>359</v>
      </c>
      <c r="C564" s="129" t="str">
        <f>CONCATENATE("0x", DEC2HEX(26+HEX2DEC('inicio zonas'!$C$18)))</f>
        <v>0x12A</v>
      </c>
      <c r="D564" s="135"/>
      <c r="E564" s="165"/>
      <c r="F564" s="119" t="s">
        <v>365</v>
      </c>
      <c r="G564" s="342" t="s">
        <v>923</v>
      </c>
      <c r="H564" s="407" t="s">
        <v>923</v>
      </c>
      <c r="I564" s="563"/>
      <c r="J564" s="298" t="s">
        <v>922</v>
      </c>
      <c r="K564" s="205" t="s">
        <v>605</v>
      </c>
      <c r="L564" s="313">
        <v>0</v>
      </c>
      <c r="N564" t="s">
        <v>499</v>
      </c>
    </row>
    <row r="565" spans="1:14" x14ac:dyDescent="0.45">
      <c r="A565" s="687"/>
      <c r="B565" s="137" t="s">
        <v>360</v>
      </c>
      <c r="C565" s="129" t="str">
        <f>CONCATENATE("0x", DEC2HEX(27+HEX2DEC('inicio zonas'!$C$18)))</f>
        <v>0x12B</v>
      </c>
      <c r="D565" s="135"/>
      <c r="E565" s="165"/>
      <c r="F565" s="137" t="s">
        <v>377</v>
      </c>
      <c r="G565" s="504" t="s">
        <v>923</v>
      </c>
      <c r="H565" s="409" t="s">
        <v>923</v>
      </c>
      <c r="I565" s="563"/>
      <c r="J565" s="205" t="s">
        <v>922</v>
      </c>
      <c r="K565" s="205" t="s">
        <v>605</v>
      </c>
      <c r="L565" s="334">
        <v>0</v>
      </c>
    </row>
    <row r="566" spans="1:14" x14ac:dyDescent="0.45">
      <c r="A566" s="687"/>
      <c r="B566" s="126" t="s">
        <v>361</v>
      </c>
      <c r="C566" s="139" t="str">
        <f>CONCATENATE("0x", DEC2HEX(28+HEX2DEC('inicio zonas'!$C$18)))</f>
        <v>0x12C</v>
      </c>
      <c r="D566" s="127"/>
      <c r="E566" s="170"/>
      <c r="F566" s="126"/>
      <c r="G566" s="501"/>
      <c r="H566" s="408"/>
      <c r="I566" s="572"/>
      <c r="J566" s="216"/>
      <c r="K566" s="216"/>
      <c r="L566" s="312"/>
    </row>
    <row r="567" spans="1:14" x14ac:dyDescent="0.45">
      <c r="A567" s="687"/>
      <c r="B567" s="124"/>
      <c r="C567" s="119" t="s">
        <v>362</v>
      </c>
      <c r="D567" s="119" t="s">
        <v>363</v>
      </c>
      <c r="E567" s="171"/>
      <c r="F567" s="276" t="s">
        <v>375</v>
      </c>
      <c r="G567" s="504" t="s">
        <v>923</v>
      </c>
      <c r="H567" s="409" t="s">
        <v>923</v>
      </c>
      <c r="I567" s="563"/>
      <c r="J567" s="298" t="s">
        <v>922</v>
      </c>
      <c r="K567" s="298" t="s">
        <v>605</v>
      </c>
      <c r="L567" s="336" t="s">
        <v>374</v>
      </c>
    </row>
    <row r="568" spans="1:14" x14ac:dyDescent="0.45">
      <c r="A568" s="687"/>
      <c r="B568" s="133"/>
      <c r="C568" s="131" t="s">
        <v>339</v>
      </c>
      <c r="D568" s="131" t="s">
        <v>364</v>
      </c>
      <c r="E568" s="172"/>
      <c r="F568" s="133" t="s">
        <v>376</v>
      </c>
      <c r="G568" s="504" t="s">
        <v>923</v>
      </c>
      <c r="H568" s="409" t="s">
        <v>923</v>
      </c>
      <c r="I568" s="563"/>
      <c r="J568" s="212" t="s">
        <v>922</v>
      </c>
      <c r="K568" s="212" t="s">
        <v>605</v>
      </c>
      <c r="L568" s="337" t="s">
        <v>374</v>
      </c>
    </row>
    <row r="569" spans="1:14" x14ac:dyDescent="0.45">
      <c r="A569" s="687"/>
      <c r="B569" s="137" t="s">
        <v>429</v>
      </c>
      <c r="C569" s="132" t="str">
        <f>CONCATENATE("0x", DEC2HEX(29+HEX2DEC('inicio zonas'!$C$18)))</f>
        <v>0x12D</v>
      </c>
      <c r="D569" s="136"/>
      <c r="E569" s="165"/>
      <c r="F569" s="137" t="s">
        <v>431</v>
      </c>
      <c r="G569" s="342" t="s">
        <v>923</v>
      </c>
      <c r="H569" s="407" t="s">
        <v>923</v>
      </c>
      <c r="I569" s="563"/>
      <c r="J569" s="298" t="s">
        <v>922</v>
      </c>
      <c r="K569" s="205" t="s">
        <v>605</v>
      </c>
      <c r="L569" s="338">
        <v>0</v>
      </c>
    </row>
    <row r="570" spans="1:14" x14ac:dyDescent="0.45">
      <c r="A570" s="676"/>
      <c r="B570" s="133" t="s">
        <v>430</v>
      </c>
      <c r="C570" s="132" t="str">
        <f>CONCATENATE("0x", DEC2HEX(30+HEX2DEC('inicio zonas'!$C$18)))</f>
        <v>0x12E</v>
      </c>
      <c r="D570" s="134"/>
      <c r="E570" s="172"/>
      <c r="F570" s="137" t="s">
        <v>432</v>
      </c>
      <c r="G570" s="514" t="s">
        <v>923</v>
      </c>
      <c r="H570" s="376" t="s">
        <v>923</v>
      </c>
      <c r="I570" s="596"/>
      <c r="J570" s="205" t="s">
        <v>922</v>
      </c>
      <c r="K570" s="212" t="s">
        <v>605</v>
      </c>
      <c r="L570" s="337">
        <v>0</v>
      </c>
    </row>
    <row r="571" spans="1:14" x14ac:dyDescent="0.45">
      <c r="G571" s="504"/>
      <c r="H571" s="276"/>
      <c r="I571" s="123"/>
      <c r="J571" s="120"/>
      <c r="K571" s="120"/>
      <c r="L571" s="292"/>
    </row>
    <row r="572" spans="1:14" x14ac:dyDescent="0.45">
      <c r="A572" s="688" t="s">
        <v>392</v>
      </c>
      <c r="B572" s="137" t="s">
        <v>378</v>
      </c>
      <c r="C572" s="129" t="str">
        <f>CONCATENATE("0x", DEC2HEX(HEX2DEC('inicio zonas'!$C$19)))</f>
        <v>0x170</v>
      </c>
      <c r="D572" s="135"/>
      <c r="E572" s="165"/>
      <c r="F572" s="135" t="s">
        <v>379</v>
      </c>
      <c r="G572" s="342" t="s">
        <v>923</v>
      </c>
      <c r="H572" s="407" t="s">
        <v>923</v>
      </c>
      <c r="I572" s="219"/>
      <c r="J572" s="136" t="s">
        <v>922</v>
      </c>
      <c r="K572" s="205" t="s">
        <v>605</v>
      </c>
      <c r="L572" s="323">
        <v>0</v>
      </c>
    </row>
    <row r="573" spans="1:14" x14ac:dyDescent="0.45">
      <c r="A573" s="689"/>
      <c r="B573" s="137" t="s">
        <v>380</v>
      </c>
      <c r="C573" s="129" t="str">
        <f>CONCATENATE("0x", DEC2HEX(1+HEX2DEC('inicio zonas'!$C$19)))</f>
        <v>0x171</v>
      </c>
      <c r="D573" s="135"/>
      <c r="E573" s="165"/>
      <c r="F573" s="167" t="s">
        <v>379</v>
      </c>
      <c r="G573" s="514" t="s">
        <v>923</v>
      </c>
      <c r="H573" s="376" t="s">
        <v>923</v>
      </c>
      <c r="I573" s="125"/>
      <c r="J573" s="136" t="s">
        <v>922</v>
      </c>
      <c r="K573" s="212" t="s">
        <v>605</v>
      </c>
      <c r="L573" s="323">
        <v>0</v>
      </c>
    </row>
    <row r="574" spans="1:14" x14ac:dyDescent="0.45">
      <c r="A574" s="689"/>
      <c r="B574" s="137" t="s">
        <v>381</v>
      </c>
      <c r="C574" s="129" t="str">
        <f>CONCATENATE("0x", DEC2HEX(2+HEX2DEC('inicio zonas'!$C$19)))</f>
        <v>0x172</v>
      </c>
      <c r="D574" s="135"/>
      <c r="E574" s="165"/>
      <c r="F574" s="135" t="s">
        <v>379</v>
      </c>
      <c r="G574" s="342" t="s">
        <v>923</v>
      </c>
      <c r="H574" s="407" t="s">
        <v>923</v>
      </c>
      <c r="I574" s="219"/>
      <c r="J574" s="136" t="s">
        <v>922</v>
      </c>
      <c r="K574" s="205" t="s">
        <v>605</v>
      </c>
      <c r="L574" s="323">
        <v>0</v>
      </c>
    </row>
    <row r="575" spans="1:14" x14ac:dyDescent="0.45">
      <c r="A575" s="689"/>
      <c r="B575" s="137" t="s">
        <v>382</v>
      </c>
      <c r="C575" s="129" t="str">
        <f>CONCATENATE("0x", DEC2HEX(3+HEX2DEC('inicio zonas'!$C$19)))</f>
        <v>0x173</v>
      </c>
      <c r="D575" s="135"/>
      <c r="E575" s="165"/>
      <c r="F575" s="167" t="s">
        <v>379</v>
      </c>
      <c r="G575" s="514" t="s">
        <v>923</v>
      </c>
      <c r="H575" s="376" t="s">
        <v>923</v>
      </c>
      <c r="I575" s="125"/>
      <c r="J575" s="136" t="s">
        <v>922</v>
      </c>
      <c r="K575" s="212" t="s">
        <v>605</v>
      </c>
      <c r="L575" s="323">
        <v>0</v>
      </c>
    </row>
    <row r="576" spans="1:14" x14ac:dyDescent="0.45">
      <c r="A576" s="689"/>
      <c r="B576" s="137" t="s">
        <v>383</v>
      </c>
      <c r="C576" s="129" t="str">
        <f>CONCATENATE("0x", DEC2HEX(4+HEX2DEC('inicio zonas'!$C$19)))</f>
        <v>0x174</v>
      </c>
      <c r="D576" s="135"/>
      <c r="E576" s="165"/>
      <c r="F576" s="135" t="s">
        <v>379</v>
      </c>
      <c r="G576" s="342" t="s">
        <v>923</v>
      </c>
      <c r="H576" s="407" t="s">
        <v>923</v>
      </c>
      <c r="I576" s="219"/>
      <c r="J576" s="136" t="s">
        <v>922</v>
      </c>
      <c r="K576" s="205" t="s">
        <v>605</v>
      </c>
      <c r="L576" s="323">
        <v>0</v>
      </c>
    </row>
    <row r="577" spans="1:12" x14ac:dyDescent="0.45">
      <c r="A577" s="689"/>
      <c r="B577" s="137" t="s">
        <v>384</v>
      </c>
      <c r="C577" s="129" t="str">
        <f>CONCATENATE("0x", DEC2HEX(5++HEX2DEC('inicio zonas'!$C$19)))</f>
        <v>0x175</v>
      </c>
      <c r="D577" s="135"/>
      <c r="E577" s="165"/>
      <c r="F577" s="167" t="s">
        <v>379</v>
      </c>
      <c r="G577" s="514" t="s">
        <v>923</v>
      </c>
      <c r="H577" s="376" t="s">
        <v>923</v>
      </c>
      <c r="I577" s="125"/>
      <c r="J577" s="136" t="s">
        <v>922</v>
      </c>
      <c r="K577" s="212" t="s">
        <v>605</v>
      </c>
      <c r="L577" s="323">
        <v>0</v>
      </c>
    </row>
    <row r="578" spans="1:12" x14ac:dyDescent="0.45">
      <c r="A578" s="689"/>
      <c r="B578" s="137" t="s">
        <v>385</v>
      </c>
      <c r="C578" s="129" t="str">
        <f>CONCATENATE("0x", DEC2HEX(6+HEX2DEC('inicio zonas'!$C$19)))</f>
        <v>0x176</v>
      </c>
      <c r="D578" s="135"/>
      <c r="E578" s="165"/>
      <c r="F578" s="135" t="s">
        <v>379</v>
      </c>
      <c r="G578" s="342" t="s">
        <v>923</v>
      </c>
      <c r="H578" s="407" t="s">
        <v>923</v>
      </c>
      <c r="I578" s="219"/>
      <c r="J578" s="136" t="s">
        <v>922</v>
      </c>
      <c r="K578" s="205" t="s">
        <v>605</v>
      </c>
      <c r="L578" s="323">
        <v>0</v>
      </c>
    </row>
    <row r="579" spans="1:12" x14ac:dyDescent="0.45">
      <c r="A579" s="689"/>
      <c r="B579" s="137" t="s">
        <v>386</v>
      </c>
      <c r="C579" s="129" t="str">
        <f>CONCATENATE("0x", DEC2HEX(7+HEX2DEC('inicio zonas'!$C$19)))</f>
        <v>0x177</v>
      </c>
      <c r="D579" s="135"/>
      <c r="E579" s="165"/>
      <c r="F579" s="167" t="s">
        <v>379</v>
      </c>
      <c r="G579" s="514" t="s">
        <v>923</v>
      </c>
      <c r="H579" s="376" t="s">
        <v>923</v>
      </c>
      <c r="I579" s="125"/>
      <c r="J579" s="136" t="s">
        <v>922</v>
      </c>
      <c r="K579" s="212" t="s">
        <v>605</v>
      </c>
      <c r="L579" s="323">
        <v>0</v>
      </c>
    </row>
    <row r="580" spans="1:12" x14ac:dyDescent="0.45">
      <c r="A580" s="689"/>
      <c r="B580" s="126" t="s">
        <v>387</v>
      </c>
      <c r="C580" s="121" t="str">
        <f>CONCATENATE("0x", DEC2HEX(8+HEX2DEC('inicio zonas'!$C$19)))</f>
        <v>0x178</v>
      </c>
      <c r="D580" s="127"/>
      <c r="E580" s="170"/>
      <c r="F580" s="127"/>
      <c r="G580" s="501"/>
      <c r="H580" s="408"/>
      <c r="I580" s="572"/>
      <c r="J580" s="216"/>
      <c r="K580" s="216"/>
      <c r="L580" s="312"/>
    </row>
    <row r="581" spans="1:12" x14ac:dyDescent="0.45">
      <c r="A581" s="689"/>
      <c r="B581" s="148">
        <v>0</v>
      </c>
      <c r="C581" s="28" t="s">
        <v>2</v>
      </c>
      <c r="D581" s="21" t="s">
        <v>389</v>
      </c>
      <c r="E581" s="42" t="str">
        <f>CONCATENATE($C$580,DEC2HEX(B581))</f>
        <v>0x1780</v>
      </c>
      <c r="F581" s="119" t="s">
        <v>390</v>
      </c>
      <c r="G581" s="504" t="s">
        <v>923</v>
      </c>
      <c r="H581" s="409" t="s">
        <v>923</v>
      </c>
      <c r="I581" s="563"/>
      <c r="J581" s="298" t="s">
        <v>922</v>
      </c>
      <c r="K581" s="298" t="s">
        <v>919</v>
      </c>
      <c r="L581" s="313">
        <v>0</v>
      </c>
    </row>
    <row r="582" spans="1:12" x14ac:dyDescent="0.45">
      <c r="A582" s="689"/>
      <c r="B582" s="148">
        <f>B581+1</f>
        <v>1</v>
      </c>
      <c r="C582" s="28" t="s">
        <v>4</v>
      </c>
      <c r="D582" s="21" t="s">
        <v>782</v>
      </c>
      <c r="E582" s="42" t="str">
        <f t="shared" ref="E582:E596" si="80">CONCATENATE($C$580,DEC2HEX(B582))</f>
        <v>0x1781</v>
      </c>
      <c r="F582" s="128" t="s">
        <v>783</v>
      </c>
      <c r="G582" s="504" t="s">
        <v>923</v>
      </c>
      <c r="H582" s="409" t="s">
        <v>923</v>
      </c>
      <c r="I582" s="563"/>
      <c r="J582" s="298" t="s">
        <v>921</v>
      </c>
      <c r="K582" s="298" t="s">
        <v>605</v>
      </c>
      <c r="L582" s="313">
        <v>0</v>
      </c>
    </row>
    <row r="583" spans="1:12" x14ac:dyDescent="0.45">
      <c r="A583" s="689"/>
      <c r="B583" s="148">
        <f t="shared" ref="B583:B596" si="81">B582+1</f>
        <v>2</v>
      </c>
      <c r="C583" s="28" t="s">
        <v>6</v>
      </c>
      <c r="D583" s="21"/>
      <c r="E583" s="42" t="str">
        <f t="shared" si="80"/>
        <v>0x1782</v>
      </c>
      <c r="F583" s="119"/>
      <c r="G583" s="504"/>
      <c r="H583" s="409"/>
      <c r="I583" s="563"/>
      <c r="J583" s="298"/>
      <c r="K583" s="298"/>
      <c r="L583" s="313"/>
    </row>
    <row r="584" spans="1:12" x14ac:dyDescent="0.45">
      <c r="A584" s="689"/>
      <c r="B584" s="148">
        <f t="shared" si="81"/>
        <v>3</v>
      </c>
      <c r="C584" s="28" t="s">
        <v>7</v>
      </c>
      <c r="D584" s="21"/>
      <c r="E584" s="42" t="str">
        <f t="shared" si="80"/>
        <v>0x1783</v>
      </c>
      <c r="F584" s="119"/>
      <c r="G584" s="504"/>
      <c r="H584" s="409"/>
      <c r="I584" s="563"/>
      <c r="J584" s="298"/>
      <c r="K584" s="298"/>
      <c r="L584" s="313"/>
    </row>
    <row r="585" spans="1:12" x14ac:dyDescent="0.45">
      <c r="A585" s="689"/>
      <c r="B585" s="148">
        <f t="shared" si="81"/>
        <v>4</v>
      </c>
      <c r="C585" s="28" t="s">
        <v>8</v>
      </c>
      <c r="D585" s="21"/>
      <c r="E585" s="42" t="str">
        <f t="shared" si="80"/>
        <v>0x1784</v>
      </c>
      <c r="F585" s="119"/>
      <c r="G585" s="504"/>
      <c r="H585" s="409"/>
      <c r="I585" s="563"/>
      <c r="J585" s="298"/>
      <c r="K585" s="298"/>
      <c r="L585" s="313"/>
    </row>
    <row r="586" spans="1:12" x14ac:dyDescent="0.45">
      <c r="A586" s="689"/>
      <c r="B586" s="148">
        <f t="shared" si="81"/>
        <v>5</v>
      </c>
      <c r="C586" s="28" t="s">
        <v>9</v>
      </c>
      <c r="D586" s="21"/>
      <c r="E586" s="42" t="str">
        <f t="shared" si="80"/>
        <v>0x1785</v>
      </c>
      <c r="F586" s="119"/>
      <c r="G586" s="504"/>
      <c r="H586" s="409"/>
      <c r="I586" s="563"/>
      <c r="J586" s="298"/>
      <c r="K586" s="298"/>
      <c r="L586" s="313"/>
    </row>
    <row r="587" spans="1:12" x14ac:dyDescent="0.45">
      <c r="A587" s="689"/>
      <c r="B587" s="148">
        <f t="shared" si="81"/>
        <v>6</v>
      </c>
      <c r="C587" s="28" t="s">
        <v>10</v>
      </c>
      <c r="D587" s="21"/>
      <c r="E587" s="42" t="str">
        <f t="shared" si="80"/>
        <v>0x1786</v>
      </c>
      <c r="F587" s="119"/>
      <c r="G587" s="504"/>
      <c r="H587" s="409"/>
      <c r="I587" s="563"/>
      <c r="J587" s="298"/>
      <c r="K587" s="298"/>
      <c r="L587" s="313"/>
    </row>
    <row r="588" spans="1:12" x14ac:dyDescent="0.45">
      <c r="A588" s="689"/>
      <c r="B588" s="148">
        <f t="shared" si="81"/>
        <v>7</v>
      </c>
      <c r="C588" s="28" t="s">
        <v>12</v>
      </c>
      <c r="D588" s="21"/>
      <c r="E588" s="42" t="str">
        <f t="shared" si="80"/>
        <v>0x1787</v>
      </c>
      <c r="F588" s="119"/>
      <c r="G588" s="504"/>
      <c r="H588" s="409"/>
      <c r="I588" s="563"/>
      <c r="J588" s="340"/>
      <c r="K588" s="340"/>
      <c r="L588" s="341"/>
    </row>
    <row r="589" spans="1:12" x14ac:dyDescent="0.45">
      <c r="A589" s="689"/>
      <c r="B589" s="148">
        <f t="shared" si="81"/>
        <v>8</v>
      </c>
      <c r="C589" s="28" t="s">
        <v>13</v>
      </c>
      <c r="D589" s="641" t="s">
        <v>388</v>
      </c>
      <c r="E589" s="42" t="str">
        <f t="shared" si="80"/>
        <v>0x1788</v>
      </c>
      <c r="F589" s="695"/>
      <c r="G589" s="666" t="s">
        <v>923</v>
      </c>
      <c r="H589" s="669" t="s">
        <v>923</v>
      </c>
      <c r="I589" s="488"/>
      <c r="J589" s="668" t="s">
        <v>922</v>
      </c>
      <c r="K589" s="668" t="s">
        <v>919</v>
      </c>
      <c r="L589" s="667">
        <v>0</v>
      </c>
    </row>
    <row r="590" spans="1:12" x14ac:dyDescent="0.45">
      <c r="A590" s="689"/>
      <c r="B590" s="148">
        <f t="shared" si="81"/>
        <v>9</v>
      </c>
      <c r="C590" s="28" t="s">
        <v>14</v>
      </c>
      <c r="D590" s="641"/>
      <c r="E590" s="42" t="str">
        <f t="shared" si="80"/>
        <v>0x1789</v>
      </c>
      <c r="F590" s="695"/>
      <c r="G590" s="666"/>
      <c r="H590" s="669"/>
      <c r="I590" s="488"/>
      <c r="J590" s="668"/>
      <c r="K590" s="668"/>
      <c r="L590" s="667"/>
    </row>
    <row r="591" spans="1:12" x14ac:dyDescent="0.45">
      <c r="A591" s="689"/>
      <c r="B591" s="148">
        <f t="shared" si="81"/>
        <v>10</v>
      </c>
      <c r="C591" s="28" t="s">
        <v>15</v>
      </c>
      <c r="D591" s="641"/>
      <c r="E591" s="42" t="str">
        <f t="shared" si="80"/>
        <v>0x178A</v>
      </c>
      <c r="F591" s="695"/>
      <c r="G591" s="666"/>
      <c r="H591" s="669"/>
      <c r="I591" s="488"/>
      <c r="J591" s="668"/>
      <c r="K591" s="668"/>
      <c r="L591" s="667"/>
    </row>
    <row r="592" spans="1:12" x14ac:dyDescent="0.45">
      <c r="A592" s="689"/>
      <c r="B592" s="148">
        <f t="shared" si="81"/>
        <v>11</v>
      </c>
      <c r="C592" s="28" t="s">
        <v>16</v>
      </c>
      <c r="D592" s="641"/>
      <c r="E592" s="42" t="str">
        <f t="shared" si="80"/>
        <v>0x178B</v>
      </c>
      <c r="F592" s="695"/>
      <c r="G592" s="666"/>
      <c r="H592" s="669"/>
      <c r="I592" s="488"/>
      <c r="J592" s="668"/>
      <c r="K592" s="668"/>
      <c r="L592" s="667"/>
    </row>
    <row r="593" spans="1:12" x14ac:dyDescent="0.45">
      <c r="A593" s="689"/>
      <c r="B593" s="148">
        <f t="shared" si="81"/>
        <v>12</v>
      </c>
      <c r="C593" s="28" t="s">
        <v>17</v>
      </c>
      <c r="D593" s="641"/>
      <c r="E593" s="42" t="str">
        <f t="shared" si="80"/>
        <v>0x178C</v>
      </c>
      <c r="F593" s="695"/>
      <c r="G593" s="666"/>
      <c r="H593" s="669"/>
      <c r="I593" s="488"/>
      <c r="J593" s="668"/>
      <c r="K593" s="668"/>
      <c r="L593" s="667"/>
    </row>
    <row r="594" spans="1:12" x14ac:dyDescent="0.45">
      <c r="A594" s="689"/>
      <c r="B594" s="148">
        <f t="shared" si="81"/>
        <v>13</v>
      </c>
      <c r="C594" s="28" t="s">
        <v>18</v>
      </c>
      <c r="D594" s="641"/>
      <c r="E594" s="42" t="str">
        <f t="shared" si="80"/>
        <v>0x178D</v>
      </c>
      <c r="F594" s="695"/>
      <c r="G594" s="666"/>
      <c r="H594" s="669"/>
      <c r="I594" s="488"/>
      <c r="J594" s="668"/>
      <c r="K594" s="668"/>
      <c r="L594" s="667"/>
    </row>
    <row r="595" spans="1:12" x14ac:dyDescent="0.45">
      <c r="A595" s="689"/>
      <c r="B595" s="148">
        <f t="shared" si="81"/>
        <v>14</v>
      </c>
      <c r="C595" s="28" t="s">
        <v>19</v>
      </c>
      <c r="D595" s="641"/>
      <c r="E595" s="42" t="str">
        <f t="shared" si="80"/>
        <v>0x178E</v>
      </c>
      <c r="F595" s="695"/>
      <c r="G595" s="666"/>
      <c r="H595" s="669"/>
      <c r="I595" s="488"/>
      <c r="J595" s="668"/>
      <c r="K595" s="668"/>
      <c r="L595" s="667"/>
    </row>
    <row r="596" spans="1:12" x14ac:dyDescent="0.45">
      <c r="A596" s="689"/>
      <c r="B596" s="45">
        <f t="shared" si="81"/>
        <v>15</v>
      </c>
      <c r="C596" s="46" t="s">
        <v>20</v>
      </c>
      <c r="D596" s="642"/>
      <c r="E596" s="48" t="str">
        <f t="shared" si="80"/>
        <v>0x178F</v>
      </c>
      <c r="F596" s="696"/>
      <c r="G596" s="694"/>
      <c r="H596" s="678"/>
      <c r="I596" s="490"/>
      <c r="J596" s="693"/>
      <c r="K596" s="693"/>
      <c r="L596" s="679"/>
    </row>
    <row r="597" spans="1:12" x14ac:dyDescent="0.45">
      <c r="A597" s="689"/>
      <c r="B597" s="137" t="s">
        <v>393</v>
      </c>
      <c r="C597" s="129" t="str">
        <f>CONCATENATE("0x", DEC2HEX(9+HEX2DEC('inicio zonas'!$C$19)))</f>
        <v>0x179</v>
      </c>
      <c r="D597" s="135"/>
      <c r="E597" s="165"/>
      <c r="F597" s="137" t="s">
        <v>379</v>
      </c>
      <c r="G597" s="514" t="s">
        <v>923</v>
      </c>
      <c r="H597" s="376" t="s">
        <v>923</v>
      </c>
      <c r="I597" s="125"/>
      <c r="J597" s="136" t="s">
        <v>922</v>
      </c>
      <c r="K597" s="136" t="s">
        <v>919</v>
      </c>
      <c r="L597" s="323">
        <v>0</v>
      </c>
    </row>
    <row r="598" spans="1:12" x14ac:dyDescent="0.45">
      <c r="A598" s="690"/>
      <c r="B598" s="137" t="s">
        <v>394</v>
      </c>
      <c r="C598" s="129" t="str">
        <f>CONCATENATE("0x", DEC2HEX(10+HEX2DEC('inicio zonas'!$C$19)))</f>
        <v>0x17A</v>
      </c>
      <c r="D598" s="135"/>
      <c r="E598" s="165"/>
      <c r="F598" s="166" t="s">
        <v>379</v>
      </c>
      <c r="G598" s="514" t="s">
        <v>923</v>
      </c>
      <c r="H598" s="376" t="s">
        <v>923</v>
      </c>
      <c r="I598" s="125"/>
      <c r="J598" s="136" t="s">
        <v>922</v>
      </c>
      <c r="K598" s="136" t="s">
        <v>919</v>
      </c>
      <c r="L598" s="323">
        <v>0</v>
      </c>
    </row>
    <row r="599" spans="1:12" x14ac:dyDescent="0.45">
      <c r="G599" s="504"/>
      <c r="H599" s="276"/>
      <c r="I599" s="123"/>
      <c r="J599" s="120"/>
      <c r="K599" s="120"/>
      <c r="L599" s="292"/>
    </row>
    <row r="600" spans="1:12" x14ac:dyDescent="0.45">
      <c r="A600" s="688" t="s">
        <v>438</v>
      </c>
      <c r="B600" s="137" t="s">
        <v>378</v>
      </c>
      <c r="C600" s="129" t="str">
        <f>CONCATENATE("0x", DEC2HEX(12+HEX2DEC('inicio zonas'!$C$19)))</f>
        <v>0x17C</v>
      </c>
      <c r="D600" s="135"/>
      <c r="E600" s="165"/>
      <c r="F600" s="135" t="s">
        <v>379</v>
      </c>
      <c r="G600" s="342" t="s">
        <v>923</v>
      </c>
      <c r="H600" s="407" t="s">
        <v>923</v>
      </c>
      <c r="I600" s="219"/>
      <c r="J600" s="136" t="s">
        <v>922</v>
      </c>
      <c r="K600" s="205" t="s">
        <v>605</v>
      </c>
      <c r="L600" s="323">
        <v>0</v>
      </c>
    </row>
    <row r="601" spans="1:12" x14ac:dyDescent="0.45">
      <c r="A601" s="689"/>
      <c r="B601" s="137" t="s">
        <v>380</v>
      </c>
      <c r="C601" s="129" t="str">
        <f>CONCATENATE("0x", DEC2HEX(13+HEX2DEC('inicio zonas'!$C$19)))</f>
        <v>0x17D</v>
      </c>
      <c r="D601" s="135"/>
      <c r="E601" s="165"/>
      <c r="F601" s="167" t="s">
        <v>379</v>
      </c>
      <c r="G601" s="514" t="s">
        <v>923</v>
      </c>
      <c r="H601" s="376" t="s">
        <v>923</v>
      </c>
      <c r="I601" s="125"/>
      <c r="J601" s="136" t="s">
        <v>922</v>
      </c>
      <c r="K601" s="212" t="s">
        <v>605</v>
      </c>
      <c r="L601" s="323">
        <v>0</v>
      </c>
    </row>
    <row r="602" spans="1:12" x14ac:dyDescent="0.45">
      <c r="A602" s="689"/>
      <c r="B602" s="137" t="s">
        <v>381</v>
      </c>
      <c r="C602" s="129" t="str">
        <f>CONCATENATE("0x", DEC2HEX(14+HEX2DEC('inicio zonas'!$C$19)))</f>
        <v>0x17E</v>
      </c>
      <c r="D602" s="135"/>
      <c r="E602" s="165"/>
      <c r="F602" s="135" t="s">
        <v>379</v>
      </c>
      <c r="G602" s="342" t="s">
        <v>923</v>
      </c>
      <c r="H602" s="407" t="s">
        <v>923</v>
      </c>
      <c r="I602" s="219"/>
      <c r="J602" s="136" t="s">
        <v>922</v>
      </c>
      <c r="K602" s="205" t="s">
        <v>605</v>
      </c>
      <c r="L602" s="323">
        <v>0</v>
      </c>
    </row>
    <row r="603" spans="1:12" x14ac:dyDescent="0.45">
      <c r="A603" s="689"/>
      <c r="B603" s="137" t="s">
        <v>382</v>
      </c>
      <c r="C603" s="129" t="str">
        <f>CONCATENATE("0x", DEC2HEX(15+HEX2DEC('inicio zonas'!$C$19)))</f>
        <v>0x17F</v>
      </c>
      <c r="D603" s="135"/>
      <c r="E603" s="165"/>
      <c r="F603" s="167" t="s">
        <v>379</v>
      </c>
      <c r="G603" s="514" t="s">
        <v>923</v>
      </c>
      <c r="H603" s="376" t="s">
        <v>923</v>
      </c>
      <c r="I603" s="125"/>
      <c r="J603" s="136" t="s">
        <v>922</v>
      </c>
      <c r="K603" s="212" t="s">
        <v>605</v>
      </c>
      <c r="L603" s="323">
        <v>0</v>
      </c>
    </row>
    <row r="604" spans="1:12" x14ac:dyDescent="0.45">
      <c r="A604" s="689"/>
      <c r="B604" s="137" t="s">
        <v>383</v>
      </c>
      <c r="C604" s="129" t="str">
        <f>CONCATENATE("0x", DEC2HEX(16+HEX2DEC('inicio zonas'!$C$19)))</f>
        <v>0x180</v>
      </c>
      <c r="D604" s="135"/>
      <c r="E604" s="165"/>
      <c r="F604" s="135" t="s">
        <v>379</v>
      </c>
      <c r="G604" s="342" t="s">
        <v>923</v>
      </c>
      <c r="H604" s="407" t="s">
        <v>923</v>
      </c>
      <c r="I604" s="219"/>
      <c r="J604" s="136" t="s">
        <v>922</v>
      </c>
      <c r="K604" s="212" t="s">
        <v>605</v>
      </c>
      <c r="L604" s="323">
        <v>0</v>
      </c>
    </row>
    <row r="605" spans="1:12" x14ac:dyDescent="0.45">
      <c r="A605" s="689"/>
      <c r="B605" s="137" t="s">
        <v>384</v>
      </c>
      <c r="C605" s="129" t="str">
        <f>CONCATENATE("0x", DEC2HEX(17+HEX2DEC('inicio zonas'!$C$19)))</f>
        <v>0x181</v>
      </c>
      <c r="D605" s="135"/>
      <c r="E605" s="165"/>
      <c r="F605" s="167" t="s">
        <v>379</v>
      </c>
      <c r="G605" s="514" t="s">
        <v>923</v>
      </c>
      <c r="H605" s="376" t="s">
        <v>923</v>
      </c>
      <c r="I605" s="125"/>
      <c r="J605" s="136" t="s">
        <v>922</v>
      </c>
      <c r="K605" s="205" t="s">
        <v>605</v>
      </c>
      <c r="L605" s="323">
        <v>0</v>
      </c>
    </row>
    <row r="606" spans="1:12" x14ac:dyDescent="0.45">
      <c r="A606" s="689"/>
      <c r="B606" s="137" t="s">
        <v>385</v>
      </c>
      <c r="C606" s="129" t="str">
        <f>CONCATENATE("0x", DEC2HEX(18+HEX2DEC('inicio zonas'!$C$19)))</f>
        <v>0x182</v>
      </c>
      <c r="D606" s="135"/>
      <c r="E606" s="165"/>
      <c r="F606" s="135" t="s">
        <v>379</v>
      </c>
      <c r="G606" s="342" t="s">
        <v>923</v>
      </c>
      <c r="H606" s="407" t="s">
        <v>923</v>
      </c>
      <c r="I606" s="219"/>
      <c r="J606" s="136" t="s">
        <v>922</v>
      </c>
      <c r="K606" s="205" t="s">
        <v>605</v>
      </c>
      <c r="L606" s="323">
        <v>0</v>
      </c>
    </row>
    <row r="607" spans="1:12" x14ac:dyDescent="0.45">
      <c r="A607" s="689"/>
      <c r="B607" s="137" t="s">
        <v>386</v>
      </c>
      <c r="C607" s="129" t="str">
        <f>CONCATENATE("0x", DEC2HEX(19+HEX2DEC('inicio zonas'!$C$19)))</f>
        <v>0x183</v>
      </c>
      <c r="D607" s="135"/>
      <c r="E607" s="165"/>
      <c r="F607" s="167" t="s">
        <v>379</v>
      </c>
      <c r="G607" s="514" t="s">
        <v>923</v>
      </c>
      <c r="H607" s="376" t="s">
        <v>923</v>
      </c>
      <c r="I607" s="125"/>
      <c r="J607" s="136" t="s">
        <v>922</v>
      </c>
      <c r="K607" s="212" t="s">
        <v>605</v>
      </c>
      <c r="L607" s="323">
        <v>0</v>
      </c>
    </row>
    <row r="608" spans="1:12" x14ac:dyDescent="0.45">
      <c r="A608" s="689"/>
      <c r="B608" s="126" t="s">
        <v>387</v>
      </c>
      <c r="C608" s="121" t="str">
        <f>CONCATENATE("0x", DEC2HEX(20+HEX2DEC('inicio zonas'!$C$19)))</f>
        <v>0x184</v>
      </c>
      <c r="D608" s="127"/>
      <c r="E608" s="170"/>
      <c r="F608" s="127"/>
      <c r="G608" s="501"/>
      <c r="H608" s="408"/>
      <c r="I608" s="572"/>
      <c r="J608" s="216"/>
      <c r="K608" s="216"/>
      <c r="L608" s="312"/>
    </row>
    <row r="609" spans="1:12" x14ac:dyDescent="0.45">
      <c r="A609" s="689"/>
      <c r="B609" s="148">
        <v>0</v>
      </c>
      <c r="C609" s="28" t="s">
        <v>2</v>
      </c>
      <c r="D609" s="21" t="s">
        <v>389</v>
      </c>
      <c r="E609" s="42" t="str">
        <f>CONCATENATE($C$608,DEC2HEX(B609))</f>
        <v>0x1840</v>
      </c>
      <c r="F609" s="119" t="s">
        <v>390</v>
      </c>
      <c r="G609" s="504" t="s">
        <v>923</v>
      </c>
      <c r="H609" s="409" t="s">
        <v>923</v>
      </c>
      <c r="I609" s="563"/>
      <c r="J609" s="298" t="s">
        <v>922</v>
      </c>
      <c r="K609" s="298" t="s">
        <v>919</v>
      </c>
      <c r="L609" s="313">
        <v>0</v>
      </c>
    </row>
    <row r="610" spans="1:12" x14ac:dyDescent="0.45">
      <c r="A610" s="689"/>
      <c r="B610" s="148">
        <f>B609+1</f>
        <v>1</v>
      </c>
      <c r="C610" s="28" t="s">
        <v>4</v>
      </c>
      <c r="D610" s="21" t="s">
        <v>782</v>
      </c>
      <c r="E610" s="42" t="str">
        <f t="shared" ref="E610:E624" si="82">CONCATENATE($C$608,DEC2HEX(B610))</f>
        <v>0x1841</v>
      </c>
      <c r="F610" s="128" t="s">
        <v>783</v>
      </c>
      <c r="G610" s="504" t="s">
        <v>923</v>
      </c>
      <c r="H610" s="409" t="s">
        <v>923</v>
      </c>
      <c r="I610" s="563"/>
      <c r="J610" s="298" t="s">
        <v>921</v>
      </c>
      <c r="K610" s="298" t="s">
        <v>605</v>
      </c>
      <c r="L610" s="313">
        <v>0</v>
      </c>
    </row>
    <row r="611" spans="1:12" x14ac:dyDescent="0.45">
      <c r="A611" s="689"/>
      <c r="B611" s="148">
        <f t="shared" ref="B611:B624" si="83">B610+1</f>
        <v>2</v>
      </c>
      <c r="C611" s="28" t="s">
        <v>6</v>
      </c>
      <c r="D611" s="21"/>
      <c r="E611" s="42" t="str">
        <f t="shared" si="82"/>
        <v>0x1842</v>
      </c>
      <c r="F611" s="119"/>
      <c r="G611" s="504"/>
      <c r="H611" s="409"/>
      <c r="I611" s="563"/>
      <c r="J611" s="298"/>
      <c r="K611" s="298"/>
      <c r="L611" s="313"/>
    </row>
    <row r="612" spans="1:12" x14ac:dyDescent="0.45">
      <c r="A612" s="689"/>
      <c r="B612" s="148">
        <f t="shared" si="83"/>
        <v>3</v>
      </c>
      <c r="C612" s="28" t="s">
        <v>7</v>
      </c>
      <c r="D612" s="21"/>
      <c r="E612" s="42" t="str">
        <f t="shared" si="82"/>
        <v>0x1843</v>
      </c>
      <c r="F612" s="119"/>
      <c r="G612" s="504"/>
      <c r="H612" s="409"/>
      <c r="I612" s="563"/>
      <c r="J612" s="298"/>
      <c r="K612" s="298"/>
      <c r="L612" s="313"/>
    </row>
    <row r="613" spans="1:12" x14ac:dyDescent="0.45">
      <c r="A613" s="689"/>
      <c r="B613" s="148">
        <f t="shared" si="83"/>
        <v>4</v>
      </c>
      <c r="C613" s="28" t="s">
        <v>8</v>
      </c>
      <c r="D613" s="21"/>
      <c r="E613" s="42" t="str">
        <f t="shared" si="82"/>
        <v>0x1844</v>
      </c>
      <c r="F613" s="119"/>
      <c r="G613" s="504"/>
      <c r="H613" s="409"/>
      <c r="I613" s="563"/>
      <c r="J613" s="298"/>
      <c r="K613" s="298"/>
      <c r="L613" s="313"/>
    </row>
    <row r="614" spans="1:12" x14ac:dyDescent="0.45">
      <c r="A614" s="689"/>
      <c r="B614" s="148">
        <f t="shared" si="83"/>
        <v>5</v>
      </c>
      <c r="C614" s="28" t="s">
        <v>9</v>
      </c>
      <c r="D614" s="21"/>
      <c r="E614" s="42" t="str">
        <f t="shared" si="82"/>
        <v>0x1845</v>
      </c>
      <c r="F614" s="119"/>
      <c r="G614" s="504"/>
      <c r="H614" s="409"/>
      <c r="I614" s="563"/>
      <c r="J614" s="298"/>
      <c r="K614" s="298"/>
      <c r="L614" s="313"/>
    </row>
    <row r="615" spans="1:12" x14ac:dyDescent="0.45">
      <c r="A615" s="689"/>
      <c r="B615" s="148">
        <f t="shared" si="83"/>
        <v>6</v>
      </c>
      <c r="C615" s="28" t="s">
        <v>10</v>
      </c>
      <c r="D615" s="21"/>
      <c r="E615" s="42" t="str">
        <f t="shared" si="82"/>
        <v>0x1846</v>
      </c>
      <c r="F615" s="119"/>
      <c r="G615" s="504"/>
      <c r="H615" s="409"/>
      <c r="I615" s="563"/>
      <c r="J615" s="298"/>
      <c r="K615" s="298"/>
      <c r="L615" s="313"/>
    </row>
    <row r="616" spans="1:12" x14ac:dyDescent="0.45">
      <c r="A616" s="689"/>
      <c r="B616" s="148">
        <f t="shared" si="83"/>
        <v>7</v>
      </c>
      <c r="C616" s="28" t="s">
        <v>12</v>
      </c>
      <c r="D616" s="21"/>
      <c r="E616" s="42" t="str">
        <f t="shared" si="82"/>
        <v>0x1847</v>
      </c>
      <c r="F616" s="119"/>
      <c r="G616" s="504"/>
      <c r="H616" s="409"/>
      <c r="I616" s="563"/>
      <c r="J616" s="340"/>
      <c r="K616" s="340"/>
      <c r="L616" s="341"/>
    </row>
    <row r="617" spans="1:12" x14ac:dyDescent="0.45">
      <c r="A617" s="689"/>
      <c r="B617" s="148">
        <f t="shared" si="83"/>
        <v>8</v>
      </c>
      <c r="C617" s="28" t="s">
        <v>13</v>
      </c>
      <c r="D617" s="641" t="s">
        <v>388</v>
      </c>
      <c r="E617" s="42" t="str">
        <f t="shared" si="82"/>
        <v>0x1848</v>
      </c>
      <c r="F617" s="691" t="s">
        <v>628</v>
      </c>
      <c r="G617" s="666" t="s">
        <v>923</v>
      </c>
      <c r="H617" s="669" t="s">
        <v>923</v>
      </c>
      <c r="I617" s="488"/>
      <c r="J617" s="668" t="s">
        <v>922</v>
      </c>
      <c r="K617" s="668" t="s">
        <v>919</v>
      </c>
      <c r="L617" s="667">
        <v>0</v>
      </c>
    </row>
    <row r="618" spans="1:12" x14ac:dyDescent="0.45">
      <c r="A618" s="689"/>
      <c r="B618" s="148">
        <f t="shared" si="83"/>
        <v>9</v>
      </c>
      <c r="C618" s="28" t="s">
        <v>14</v>
      </c>
      <c r="D618" s="641"/>
      <c r="E618" s="42" t="str">
        <f t="shared" si="82"/>
        <v>0x1849</v>
      </c>
      <c r="F618" s="691"/>
      <c r="G618" s="666"/>
      <c r="H618" s="669"/>
      <c r="I618" s="488"/>
      <c r="J618" s="668"/>
      <c r="K618" s="668"/>
      <c r="L618" s="667"/>
    </row>
    <row r="619" spans="1:12" x14ac:dyDescent="0.45">
      <c r="A619" s="689"/>
      <c r="B619" s="148">
        <f t="shared" si="83"/>
        <v>10</v>
      </c>
      <c r="C619" s="28" t="s">
        <v>15</v>
      </c>
      <c r="D619" s="641"/>
      <c r="E619" s="42" t="str">
        <f t="shared" si="82"/>
        <v>0x184A</v>
      </c>
      <c r="F619" s="691"/>
      <c r="G619" s="666"/>
      <c r="H619" s="669"/>
      <c r="I619" s="488"/>
      <c r="J619" s="668"/>
      <c r="K619" s="668"/>
      <c r="L619" s="667"/>
    </row>
    <row r="620" spans="1:12" x14ac:dyDescent="0.45">
      <c r="A620" s="689"/>
      <c r="B620" s="148">
        <f t="shared" si="83"/>
        <v>11</v>
      </c>
      <c r="C620" s="28" t="s">
        <v>16</v>
      </c>
      <c r="D620" s="641"/>
      <c r="E620" s="42" t="str">
        <f t="shared" si="82"/>
        <v>0x184B</v>
      </c>
      <c r="F620" s="691"/>
      <c r="G620" s="666"/>
      <c r="H620" s="669"/>
      <c r="I620" s="488"/>
      <c r="J620" s="668"/>
      <c r="K620" s="668"/>
      <c r="L620" s="667"/>
    </row>
    <row r="621" spans="1:12" x14ac:dyDescent="0.45">
      <c r="A621" s="689"/>
      <c r="B621" s="148">
        <f t="shared" si="83"/>
        <v>12</v>
      </c>
      <c r="C621" s="28" t="s">
        <v>17</v>
      </c>
      <c r="D621" s="641"/>
      <c r="E621" s="42" t="str">
        <f t="shared" si="82"/>
        <v>0x184C</v>
      </c>
      <c r="F621" s="691"/>
      <c r="G621" s="666"/>
      <c r="H621" s="669"/>
      <c r="I621" s="488"/>
      <c r="J621" s="668"/>
      <c r="K621" s="668"/>
      <c r="L621" s="667"/>
    </row>
    <row r="622" spans="1:12" x14ac:dyDescent="0.45">
      <c r="A622" s="689"/>
      <c r="B622" s="148">
        <f t="shared" si="83"/>
        <v>13</v>
      </c>
      <c r="C622" s="28" t="s">
        <v>18</v>
      </c>
      <c r="D622" s="641"/>
      <c r="E622" s="42" t="str">
        <f t="shared" si="82"/>
        <v>0x184D</v>
      </c>
      <c r="F622" s="691"/>
      <c r="G622" s="666"/>
      <c r="H622" s="669"/>
      <c r="I622" s="488"/>
      <c r="J622" s="668"/>
      <c r="K622" s="668"/>
      <c r="L622" s="667"/>
    </row>
    <row r="623" spans="1:12" x14ac:dyDescent="0.45">
      <c r="A623" s="689"/>
      <c r="B623" s="148">
        <f t="shared" si="83"/>
        <v>14</v>
      </c>
      <c r="C623" s="28" t="s">
        <v>19</v>
      </c>
      <c r="D623" s="641"/>
      <c r="E623" s="42" t="str">
        <f t="shared" si="82"/>
        <v>0x184E</v>
      </c>
      <c r="F623" s="691"/>
      <c r="G623" s="666"/>
      <c r="H623" s="669"/>
      <c r="I623" s="488"/>
      <c r="J623" s="668"/>
      <c r="K623" s="668"/>
      <c r="L623" s="667"/>
    </row>
    <row r="624" spans="1:12" x14ac:dyDescent="0.45">
      <c r="A624" s="689"/>
      <c r="B624" s="45">
        <f t="shared" si="83"/>
        <v>15</v>
      </c>
      <c r="C624" s="46" t="s">
        <v>20</v>
      </c>
      <c r="D624" s="642"/>
      <c r="E624" s="42" t="str">
        <f t="shared" si="82"/>
        <v>0x184F</v>
      </c>
      <c r="F624" s="692"/>
      <c r="G624" s="694"/>
      <c r="H624" s="678"/>
      <c r="I624" s="490"/>
      <c r="J624" s="693"/>
      <c r="K624" s="693"/>
      <c r="L624" s="679"/>
    </row>
    <row r="625" spans="1:12" x14ac:dyDescent="0.45">
      <c r="A625" s="689"/>
      <c r="B625" s="137" t="s">
        <v>393</v>
      </c>
      <c r="C625" s="129" t="str">
        <f>CONCATENATE("0x", DEC2HEX(21+HEX2DEC('inicio zonas'!$C$19)))</f>
        <v>0x185</v>
      </c>
      <c r="D625" s="135"/>
      <c r="E625" s="165"/>
      <c r="F625" s="137" t="s">
        <v>379</v>
      </c>
      <c r="G625" s="342" t="s">
        <v>923</v>
      </c>
      <c r="H625" s="407" t="s">
        <v>923</v>
      </c>
      <c r="I625" s="574"/>
      <c r="J625" s="205" t="s">
        <v>922</v>
      </c>
      <c r="K625" s="205" t="s">
        <v>919</v>
      </c>
      <c r="L625" s="334">
        <v>0</v>
      </c>
    </row>
    <row r="626" spans="1:12" x14ac:dyDescent="0.45">
      <c r="A626" s="690"/>
      <c r="B626" s="137" t="s">
        <v>394</v>
      </c>
      <c r="C626" s="129" t="str">
        <f>CONCATENATE("0x", DEC2HEX(22+HEX2DEC('inicio zonas'!$C$19)))</f>
        <v>0x186</v>
      </c>
      <c r="D626" s="135"/>
      <c r="E626" s="165"/>
      <c r="F626" s="166" t="s">
        <v>379</v>
      </c>
      <c r="G626" s="342" t="s">
        <v>923</v>
      </c>
      <c r="H626" s="407" t="s">
        <v>923</v>
      </c>
      <c r="I626" s="574"/>
      <c r="J626" s="205" t="s">
        <v>922</v>
      </c>
      <c r="K626" s="205" t="s">
        <v>919</v>
      </c>
      <c r="L626" s="334">
        <v>0</v>
      </c>
    </row>
    <row r="627" spans="1:12" x14ac:dyDescent="0.45">
      <c r="G627" s="504"/>
      <c r="H627" s="276"/>
      <c r="I627" s="123"/>
      <c r="J627" s="120"/>
      <c r="K627" s="120"/>
      <c r="L627" s="292"/>
    </row>
    <row r="628" spans="1:12" x14ac:dyDescent="0.45">
      <c r="A628" t="s">
        <v>617</v>
      </c>
      <c r="G628" s="504"/>
      <c r="H628" s="276"/>
      <c r="I628" s="123"/>
      <c r="J628" s="120"/>
      <c r="K628" s="120"/>
      <c r="L628" s="292"/>
    </row>
    <row r="629" spans="1:12" x14ac:dyDescent="0.45">
      <c r="G629" s="504"/>
      <c r="H629" s="276"/>
      <c r="I629" s="123"/>
      <c r="J629" s="120"/>
      <c r="K629" s="120"/>
      <c r="L629" s="292"/>
    </row>
    <row r="630" spans="1:12" x14ac:dyDescent="0.45">
      <c r="G630" s="504"/>
      <c r="H630" s="276"/>
      <c r="I630" s="123"/>
      <c r="J630" s="120"/>
      <c r="K630" s="120"/>
      <c r="L630" s="292"/>
    </row>
    <row r="631" spans="1:12" x14ac:dyDescent="0.45">
      <c r="G631" s="504"/>
      <c r="H631" s="276"/>
      <c r="I631" s="123"/>
      <c r="J631" s="120"/>
      <c r="K631" s="120"/>
      <c r="L631" s="292"/>
    </row>
    <row r="632" spans="1:12" x14ac:dyDescent="0.45">
      <c r="G632" s="504"/>
      <c r="H632" s="276"/>
      <c r="I632" s="123"/>
      <c r="J632" s="120"/>
      <c r="K632" s="120"/>
      <c r="L632" s="292"/>
    </row>
    <row r="633" spans="1:12" x14ac:dyDescent="0.45">
      <c r="G633" s="504"/>
      <c r="H633" s="276"/>
      <c r="I633" s="123"/>
      <c r="J633" s="120"/>
      <c r="K633" s="120"/>
      <c r="L633" s="292"/>
    </row>
    <row r="634" spans="1:12" x14ac:dyDescent="0.45">
      <c r="G634" s="504"/>
      <c r="H634" s="276"/>
      <c r="I634" s="123"/>
      <c r="J634" s="120"/>
      <c r="K634" s="120"/>
      <c r="L634" s="292"/>
    </row>
    <row r="635" spans="1:12" x14ac:dyDescent="0.45">
      <c r="G635" s="504"/>
      <c r="H635" s="276"/>
      <c r="I635" s="123"/>
      <c r="J635" s="120"/>
      <c r="K635" s="120"/>
      <c r="L635" s="292"/>
    </row>
    <row r="636" spans="1:12" x14ac:dyDescent="0.45">
      <c r="A636" s="688" t="s">
        <v>511</v>
      </c>
      <c r="B636" s="137" t="s">
        <v>618</v>
      </c>
      <c r="C636" s="129" t="str">
        <f>CONCATENATE("0x", DEC2HEX(0+HEX2DEC('inicio zonas'!$C$20)))</f>
        <v>0x1E0</v>
      </c>
      <c r="D636" s="135"/>
      <c r="E636" s="165"/>
      <c r="F636" s="135"/>
      <c r="G636" s="342" t="s">
        <v>923</v>
      </c>
      <c r="H636" s="407" t="s">
        <v>923</v>
      </c>
      <c r="I636" s="574"/>
      <c r="J636" s="205" t="s">
        <v>921</v>
      </c>
      <c r="K636" s="205" t="s">
        <v>605</v>
      </c>
      <c r="L636" s="334">
        <v>0</v>
      </c>
    </row>
    <row r="637" spans="1:12" x14ac:dyDescent="0.45">
      <c r="A637" s="689"/>
      <c r="B637" s="137" t="s">
        <v>619</v>
      </c>
      <c r="C637" s="129" t="str">
        <f>CONCATENATE("0x", DEC2HEX(1+HEX2DEC('inicio zonas'!$C$20)))</f>
        <v>0x1E1</v>
      </c>
      <c r="D637" s="135"/>
      <c r="E637" s="165"/>
      <c r="F637" s="167"/>
      <c r="G637" s="342" t="s">
        <v>923</v>
      </c>
      <c r="H637" s="407" t="s">
        <v>923</v>
      </c>
      <c r="I637" s="574"/>
      <c r="J637" s="205" t="s">
        <v>921</v>
      </c>
      <c r="K637" s="205" t="s">
        <v>605</v>
      </c>
      <c r="L637" s="334">
        <v>0</v>
      </c>
    </row>
    <row r="638" spans="1:12" x14ac:dyDescent="0.45">
      <c r="A638" s="702"/>
      <c r="B638" s="137" t="s">
        <v>723</v>
      </c>
      <c r="C638" s="129" t="str">
        <f>CONCATENATE("0x", DEC2HEX(2+HEX2DEC('inicio zonas'!$C$20)))</f>
        <v>0x1E2</v>
      </c>
      <c r="D638" s="135"/>
      <c r="E638" s="165"/>
      <c r="F638" s="167"/>
      <c r="G638" s="342" t="s">
        <v>923</v>
      </c>
      <c r="H638" s="407" t="s">
        <v>923</v>
      </c>
      <c r="I638" s="574"/>
      <c r="J638" s="205" t="s">
        <v>921</v>
      </c>
      <c r="K638" s="205" t="s">
        <v>605</v>
      </c>
      <c r="L638" s="334">
        <v>0</v>
      </c>
    </row>
    <row r="639" spans="1:12" x14ac:dyDescent="0.45">
      <c r="A639" s="702"/>
      <c r="B639" s="137" t="s">
        <v>724</v>
      </c>
      <c r="C639" s="129" t="str">
        <f>CONCATENATE("0x", DEC2HEX(3+HEX2DEC('inicio zonas'!$C$20)))</f>
        <v>0x1E3</v>
      </c>
      <c r="D639" s="135"/>
      <c r="E639" s="165"/>
      <c r="F639" s="167"/>
      <c r="G639" s="342" t="s">
        <v>923</v>
      </c>
      <c r="H639" s="407" t="s">
        <v>923</v>
      </c>
      <c r="I639" s="574"/>
      <c r="J639" s="205" t="s">
        <v>921</v>
      </c>
      <c r="K639" s="205" t="s">
        <v>605</v>
      </c>
      <c r="L639" s="334">
        <v>0</v>
      </c>
    </row>
    <row r="640" spans="1:12" x14ac:dyDescent="0.45">
      <c r="A640" s="689"/>
      <c r="B640" s="137" t="s">
        <v>620</v>
      </c>
      <c r="C640" s="129" t="str">
        <f>CONCATENATE("0x", DEC2HEX(4+HEX2DEC('inicio zonas'!$C$20)))</f>
        <v>0x1E4</v>
      </c>
      <c r="D640" s="135"/>
      <c r="E640" s="165"/>
      <c r="F640" s="135"/>
      <c r="G640" s="342" t="s">
        <v>923</v>
      </c>
      <c r="H640" s="407" t="s">
        <v>923</v>
      </c>
      <c r="I640" s="574"/>
      <c r="J640" s="205" t="s">
        <v>921</v>
      </c>
      <c r="K640" s="205" t="s">
        <v>605</v>
      </c>
      <c r="L640" s="334">
        <v>0</v>
      </c>
    </row>
    <row r="641" spans="1:12" x14ac:dyDescent="0.45">
      <c r="A641" s="689"/>
      <c r="B641" s="137" t="s">
        <v>621</v>
      </c>
      <c r="C641" s="129" t="str">
        <f>CONCATENATE("0x", DEC2HEX(5+HEX2DEC('inicio zonas'!$C$20)))</f>
        <v>0x1E5</v>
      </c>
      <c r="D641" s="135"/>
      <c r="E641" s="165"/>
      <c r="F641" s="167"/>
      <c r="G641" s="342" t="s">
        <v>923</v>
      </c>
      <c r="H641" s="407" t="s">
        <v>923</v>
      </c>
      <c r="I641" s="574"/>
      <c r="J641" s="205" t="s">
        <v>921</v>
      </c>
      <c r="K641" s="205" t="s">
        <v>605</v>
      </c>
      <c r="L641" s="334">
        <v>0</v>
      </c>
    </row>
    <row r="642" spans="1:12" x14ac:dyDescent="0.45">
      <c r="A642" s="689"/>
      <c r="B642" s="137" t="s">
        <v>622</v>
      </c>
      <c r="C642" s="129" t="str">
        <f>CONCATENATE("0x", DEC2HEX(6+HEX2DEC('inicio zonas'!$C$20)))</f>
        <v>0x1E6</v>
      </c>
      <c r="D642" s="135"/>
      <c r="E642" s="165"/>
      <c r="F642" s="135"/>
      <c r="G642" s="342" t="s">
        <v>923</v>
      </c>
      <c r="H642" s="407" t="s">
        <v>923</v>
      </c>
      <c r="I642" s="574"/>
      <c r="J642" s="205" t="s">
        <v>921</v>
      </c>
      <c r="K642" s="205" t="s">
        <v>605</v>
      </c>
      <c r="L642" s="334">
        <v>0</v>
      </c>
    </row>
    <row r="643" spans="1:12" x14ac:dyDescent="0.45">
      <c r="A643" s="689"/>
      <c r="B643" s="137" t="s">
        <v>623</v>
      </c>
      <c r="C643" s="129" t="str">
        <f>CONCATENATE("0x", DEC2HEX(7+HEX2DEC('inicio zonas'!$C$20)))</f>
        <v>0x1E7</v>
      </c>
      <c r="D643" s="135"/>
      <c r="E643" s="165"/>
      <c r="F643" s="167"/>
      <c r="G643" s="342" t="s">
        <v>923</v>
      </c>
      <c r="H643" s="407" t="s">
        <v>923</v>
      </c>
      <c r="I643" s="574"/>
      <c r="J643" s="205" t="s">
        <v>922</v>
      </c>
      <c r="K643" s="205" t="s">
        <v>919</v>
      </c>
      <c r="L643" s="334">
        <v>0</v>
      </c>
    </row>
    <row r="644" spans="1:12" x14ac:dyDescent="0.45">
      <c r="A644" s="689"/>
      <c r="B644" s="137" t="s">
        <v>624</v>
      </c>
      <c r="C644" s="129" t="str">
        <f>CONCATENATE("0x", DEC2HEX(8+HEX2DEC('inicio zonas'!$C$20)))</f>
        <v>0x1E8</v>
      </c>
      <c r="D644" s="135"/>
      <c r="E644" s="165"/>
      <c r="F644" s="135"/>
      <c r="G644" s="342" t="s">
        <v>923</v>
      </c>
      <c r="H644" s="407" t="s">
        <v>923</v>
      </c>
      <c r="I644" s="574"/>
      <c r="J644" s="205" t="s">
        <v>922</v>
      </c>
      <c r="K644" s="205" t="s">
        <v>919</v>
      </c>
      <c r="L644" s="334">
        <v>0</v>
      </c>
    </row>
    <row r="645" spans="1:12" x14ac:dyDescent="0.45">
      <c r="A645" s="689"/>
      <c r="B645" s="137" t="s">
        <v>725</v>
      </c>
      <c r="C645" s="129" t="str">
        <f>CONCATENATE("0x", DEC2HEX(9+HEX2DEC('inicio zonas'!$C$20)))</f>
        <v>0x1E9</v>
      </c>
      <c r="D645" s="135"/>
      <c r="E645" s="165"/>
      <c r="F645" s="167"/>
      <c r="G645" s="342" t="s">
        <v>923</v>
      </c>
      <c r="H645" s="407" t="s">
        <v>923</v>
      </c>
      <c r="I645" s="574"/>
      <c r="J645" s="205" t="s">
        <v>922</v>
      </c>
      <c r="K645" s="205" t="s">
        <v>919</v>
      </c>
      <c r="L645" s="334">
        <v>0</v>
      </c>
    </row>
    <row r="646" spans="1:12" x14ac:dyDescent="0.45">
      <c r="A646" s="702"/>
      <c r="B646" s="137"/>
      <c r="C646" s="129" t="str">
        <f>CONCATENATE("0x", DEC2HEX(10+HEX2DEC('inicio zonas'!$C$20)))</f>
        <v>0x1EA</v>
      </c>
      <c r="D646" s="135"/>
      <c r="E646" s="165"/>
      <c r="F646" s="167"/>
      <c r="G646" s="342"/>
      <c r="H646" s="407"/>
      <c r="I646" s="574"/>
      <c r="J646" s="205"/>
      <c r="K646" s="205"/>
      <c r="L646" s="334"/>
    </row>
    <row r="647" spans="1:12" x14ac:dyDescent="0.45">
      <c r="A647" s="689"/>
      <c r="B647" s="137" t="s">
        <v>625</v>
      </c>
      <c r="C647" s="129" t="str">
        <f>CONCATENATE("0x", DEC2HEX(11+HEX2DEC('inicio zonas'!$C$20)))</f>
        <v>0x1EB</v>
      </c>
      <c r="D647" s="135"/>
      <c r="E647" s="165"/>
      <c r="F647" s="135"/>
      <c r="G647" s="342" t="s">
        <v>923</v>
      </c>
      <c r="H647" s="407" t="s">
        <v>923</v>
      </c>
      <c r="I647" s="574"/>
      <c r="J647" s="205" t="s">
        <v>922</v>
      </c>
      <c r="K647" s="205" t="s">
        <v>919</v>
      </c>
      <c r="L647" s="334">
        <v>0</v>
      </c>
    </row>
    <row r="648" spans="1:12" x14ac:dyDescent="0.45">
      <c r="A648" s="689"/>
      <c r="B648" s="137" t="s">
        <v>626</v>
      </c>
      <c r="C648" s="129" t="str">
        <f>CONCATENATE("0x", DEC2HEX(12+HEX2DEC('inicio zonas'!$C$20)))</f>
        <v>0x1EC</v>
      </c>
      <c r="D648" s="135"/>
      <c r="E648" s="165"/>
      <c r="F648" s="167"/>
      <c r="G648" s="342" t="s">
        <v>923</v>
      </c>
      <c r="H648" s="407" t="s">
        <v>923</v>
      </c>
      <c r="I648" s="574"/>
      <c r="J648" s="205" t="s">
        <v>922</v>
      </c>
      <c r="K648" s="205" t="s">
        <v>919</v>
      </c>
      <c r="L648" s="334">
        <v>0</v>
      </c>
    </row>
    <row r="649" spans="1:12" x14ac:dyDescent="0.45">
      <c r="A649" s="689"/>
      <c r="B649" s="137" t="s">
        <v>627</v>
      </c>
      <c r="C649" s="129" t="str">
        <f>CONCATENATE("0x", DEC2HEX(13+HEX2DEC('inicio zonas'!$C$20)))</f>
        <v>0x1ED</v>
      </c>
      <c r="D649" s="135"/>
      <c r="E649" s="165"/>
      <c r="F649" s="135"/>
      <c r="G649" s="342" t="s">
        <v>923</v>
      </c>
      <c r="H649" s="407" t="s">
        <v>923</v>
      </c>
      <c r="I649" s="574"/>
      <c r="J649" s="205" t="s">
        <v>922</v>
      </c>
      <c r="K649" s="205" t="s">
        <v>919</v>
      </c>
      <c r="L649" s="334">
        <v>0</v>
      </c>
    </row>
    <row r="650" spans="1:12" x14ac:dyDescent="0.45">
      <c r="A650" s="702"/>
      <c r="B650" s="137" t="s">
        <v>513</v>
      </c>
      <c r="C650" s="129" t="str">
        <f>CONCATENATE("0x", DEC2HEX(14+HEX2DEC('inicio zonas'!$C$20)))</f>
        <v>0x1EE</v>
      </c>
      <c r="D650" s="135"/>
      <c r="E650" s="135"/>
      <c r="F650" s="135"/>
      <c r="G650" s="342" t="s">
        <v>923</v>
      </c>
      <c r="H650" s="407" t="s">
        <v>923</v>
      </c>
      <c r="I650" s="574"/>
      <c r="J650" s="205" t="s">
        <v>921</v>
      </c>
      <c r="K650" s="205" t="s">
        <v>919</v>
      </c>
      <c r="L650" s="334">
        <v>0</v>
      </c>
    </row>
    <row r="651" spans="1:12" x14ac:dyDescent="0.45">
      <c r="A651" s="689"/>
      <c r="B651" s="137" t="s">
        <v>514</v>
      </c>
      <c r="C651" s="129" t="str">
        <f>CONCATENATE("0x", DEC2HEX(15+HEX2DEC('inicio zonas'!$C$20)))</f>
        <v>0x1EF</v>
      </c>
      <c r="D651" s="56"/>
      <c r="E651" s="195"/>
      <c r="F651" s="137"/>
      <c r="G651" s="342" t="s">
        <v>923</v>
      </c>
      <c r="H651" s="407" t="s">
        <v>923</v>
      </c>
      <c r="I651" s="574"/>
      <c r="J651" s="205" t="s">
        <v>921</v>
      </c>
      <c r="K651" s="205" t="s">
        <v>919</v>
      </c>
      <c r="L651" s="334">
        <v>0</v>
      </c>
    </row>
    <row r="652" spans="1:12" x14ac:dyDescent="0.45">
      <c r="A652" s="689"/>
      <c r="B652" s="137" t="s">
        <v>515</v>
      </c>
      <c r="C652" s="129" t="str">
        <f>CONCATENATE("0x", DEC2HEX(16+HEX2DEC('inicio zonas'!$C$20)))</f>
        <v>0x1F0</v>
      </c>
      <c r="D652" s="56"/>
      <c r="E652" s="195"/>
      <c r="F652" s="137"/>
      <c r="G652" s="342" t="s">
        <v>923</v>
      </c>
      <c r="H652" s="407" t="s">
        <v>923</v>
      </c>
      <c r="I652" s="574"/>
      <c r="J652" s="205" t="s">
        <v>921</v>
      </c>
      <c r="K652" s="205" t="s">
        <v>919</v>
      </c>
      <c r="L652" s="334">
        <v>0</v>
      </c>
    </row>
    <row r="653" spans="1:12" x14ac:dyDescent="0.45">
      <c r="A653" s="689"/>
      <c r="B653" s="137" t="s">
        <v>516</v>
      </c>
      <c r="C653" s="129" t="str">
        <f>CONCATENATE("0x", DEC2HEX(17+HEX2DEC('inicio zonas'!$C$20)))</f>
        <v>0x1F1</v>
      </c>
      <c r="D653" s="56"/>
      <c r="E653" s="195"/>
      <c r="F653" s="137"/>
      <c r="G653" s="342" t="s">
        <v>923</v>
      </c>
      <c r="H653" s="407" t="s">
        <v>923</v>
      </c>
      <c r="I653" s="574"/>
      <c r="J653" s="205" t="s">
        <v>921</v>
      </c>
      <c r="K653" s="205" t="s">
        <v>919</v>
      </c>
      <c r="L653" s="334">
        <v>0</v>
      </c>
    </row>
    <row r="654" spans="1:12" x14ac:dyDescent="0.45">
      <c r="A654" s="689"/>
      <c r="B654" s="137" t="s">
        <v>517</v>
      </c>
      <c r="C654" s="129" t="str">
        <f>CONCATENATE("0x", DEC2HEX(18+HEX2DEC('inicio zonas'!$C$20)))</f>
        <v>0x1F2</v>
      </c>
      <c r="D654" s="56"/>
      <c r="E654" s="195"/>
      <c r="F654" s="137"/>
      <c r="G654" s="342" t="s">
        <v>923</v>
      </c>
      <c r="H654" s="407" t="s">
        <v>923</v>
      </c>
      <c r="I654" s="574"/>
      <c r="J654" s="205" t="s">
        <v>921</v>
      </c>
      <c r="K654" s="205" t="s">
        <v>919</v>
      </c>
      <c r="L654" s="334">
        <v>0</v>
      </c>
    </row>
    <row r="655" spans="1:12" x14ac:dyDescent="0.45">
      <c r="A655" s="689"/>
      <c r="B655" s="177" t="s">
        <v>518</v>
      </c>
      <c r="C655" s="129" t="str">
        <f>CONCATENATE("0x", DEC2HEX(19+HEX2DEC('inicio zonas'!$C$20)))</f>
        <v>0x1F3</v>
      </c>
      <c r="D655" s="56"/>
      <c r="E655" s="195"/>
      <c r="F655" s="137"/>
      <c r="G655" s="342" t="s">
        <v>923</v>
      </c>
      <c r="H655" s="407" t="s">
        <v>923</v>
      </c>
      <c r="I655" s="219"/>
      <c r="J655" s="136" t="s">
        <v>921</v>
      </c>
      <c r="K655" s="205" t="s">
        <v>919</v>
      </c>
      <c r="L655" s="323">
        <v>0</v>
      </c>
    </row>
    <row r="656" spans="1:12" x14ac:dyDescent="0.45">
      <c r="A656" s="689"/>
      <c r="B656" s="177" t="s">
        <v>519</v>
      </c>
      <c r="C656" s="129" t="str">
        <f>CONCATENATE("0x", DEC2HEX(20+HEX2DEC('inicio zonas'!$C$20)))</f>
        <v>0x1F4</v>
      </c>
      <c r="D656" s="56"/>
      <c r="E656" s="195"/>
      <c r="F656" s="137"/>
      <c r="G656" s="342" t="s">
        <v>923</v>
      </c>
      <c r="H656" s="407" t="s">
        <v>923</v>
      </c>
      <c r="I656" s="219"/>
      <c r="J656" s="136" t="s">
        <v>921</v>
      </c>
      <c r="K656" s="205" t="s">
        <v>919</v>
      </c>
      <c r="L656" s="323">
        <v>0</v>
      </c>
    </row>
    <row r="657" spans="1:12" x14ac:dyDescent="0.45">
      <c r="A657" s="689"/>
      <c r="B657" s="177" t="s">
        <v>520</v>
      </c>
      <c r="C657" s="129" t="str">
        <f>CONCATENATE("0x", DEC2HEX(21+HEX2DEC('inicio zonas'!$C$20)))</f>
        <v>0x1F5</v>
      </c>
      <c r="D657" s="196"/>
      <c r="E657" s="195"/>
      <c r="F657" s="198"/>
      <c r="G657" s="342" t="s">
        <v>923</v>
      </c>
      <c r="H657" s="407" t="s">
        <v>923</v>
      </c>
      <c r="I657" s="219"/>
      <c r="J657" s="136" t="s">
        <v>921</v>
      </c>
      <c r="K657" s="205" t="s">
        <v>919</v>
      </c>
      <c r="L657" s="323">
        <v>0</v>
      </c>
    </row>
    <row r="658" spans="1:12" x14ac:dyDescent="0.45">
      <c r="A658" s="689"/>
      <c r="B658" s="137" t="s">
        <v>521</v>
      </c>
      <c r="C658" s="129" t="str">
        <f>CONCATENATE("0x", DEC2HEX(22+HEX2DEC('inicio zonas'!$C$20)))</f>
        <v>0x1F6</v>
      </c>
      <c r="D658" s="196"/>
      <c r="E658" s="195"/>
      <c r="F658" s="198"/>
      <c r="G658" s="342" t="s">
        <v>923</v>
      </c>
      <c r="H658" s="407" t="s">
        <v>923</v>
      </c>
      <c r="I658" s="219"/>
      <c r="J658" s="136" t="s">
        <v>921</v>
      </c>
      <c r="K658" s="205" t="s">
        <v>919</v>
      </c>
      <c r="L658" s="323">
        <v>0</v>
      </c>
    </row>
    <row r="659" spans="1:12" x14ac:dyDescent="0.45">
      <c r="A659" s="689"/>
      <c r="B659" s="137" t="s">
        <v>523</v>
      </c>
      <c r="C659" s="129" t="str">
        <f>CONCATENATE("0x", DEC2HEX(23+HEX2DEC('inicio zonas'!$C$20)))</f>
        <v>0x1F7</v>
      </c>
      <c r="D659" s="196"/>
      <c r="E659" s="195"/>
      <c r="F659" s="198"/>
      <c r="G659" s="342" t="s">
        <v>923</v>
      </c>
      <c r="H659" s="407" t="s">
        <v>923</v>
      </c>
      <c r="I659" s="219"/>
      <c r="J659" s="136" t="s">
        <v>921</v>
      </c>
      <c r="K659" s="205" t="s">
        <v>919</v>
      </c>
      <c r="L659" s="323">
        <v>0</v>
      </c>
    </row>
    <row r="660" spans="1:12" x14ac:dyDescent="0.45">
      <c r="A660" s="689"/>
      <c r="B660" s="137" t="s">
        <v>524</v>
      </c>
      <c r="C660" s="129" t="str">
        <f>CONCATENATE("0x", DEC2HEX(24+HEX2DEC('inicio zonas'!$C$20)))</f>
        <v>0x1F8</v>
      </c>
      <c r="D660" s="196"/>
      <c r="E660" s="195"/>
      <c r="F660" s="198"/>
      <c r="G660" s="342" t="s">
        <v>923</v>
      </c>
      <c r="H660" s="407" t="s">
        <v>923</v>
      </c>
      <c r="I660" s="219"/>
      <c r="J660" s="136" t="s">
        <v>921</v>
      </c>
      <c r="K660" s="205" t="s">
        <v>919</v>
      </c>
      <c r="L660" s="323">
        <v>0</v>
      </c>
    </row>
    <row r="661" spans="1:12" x14ac:dyDescent="0.45">
      <c r="A661" s="689"/>
      <c r="B661" s="137" t="s">
        <v>525</v>
      </c>
      <c r="C661" s="129" t="str">
        <f>CONCATENATE("0x", DEC2HEX(25+HEX2DEC('inicio zonas'!$C$20)))</f>
        <v>0x1F9</v>
      </c>
      <c r="D661" s="196"/>
      <c r="E661" s="195"/>
      <c r="F661" s="198"/>
      <c r="G661" s="342" t="s">
        <v>923</v>
      </c>
      <c r="H661" s="407" t="s">
        <v>923</v>
      </c>
      <c r="I661" s="219"/>
      <c r="J661" s="136" t="s">
        <v>921</v>
      </c>
      <c r="K661" s="205" t="s">
        <v>919</v>
      </c>
      <c r="L661" s="323">
        <v>0</v>
      </c>
    </row>
    <row r="662" spans="1:12" x14ac:dyDescent="0.45">
      <c r="A662" s="689"/>
      <c r="B662" s="137" t="s">
        <v>526</v>
      </c>
      <c r="C662" s="129" t="str">
        <f>CONCATENATE("0x", DEC2HEX(26+HEX2DEC('inicio zonas'!$C$20)))</f>
        <v>0x1FA</v>
      </c>
      <c r="D662" s="56"/>
      <c r="E662" s="195"/>
      <c r="F662" s="137"/>
      <c r="G662" s="342" t="s">
        <v>923</v>
      </c>
      <c r="H662" s="407" t="s">
        <v>923</v>
      </c>
      <c r="I662" s="219"/>
      <c r="J662" s="136" t="s">
        <v>921</v>
      </c>
      <c r="K662" s="205" t="s">
        <v>919</v>
      </c>
      <c r="L662" s="323">
        <v>0</v>
      </c>
    </row>
    <row r="663" spans="1:12" x14ac:dyDescent="0.45">
      <c r="A663" s="689"/>
      <c r="B663" s="177" t="s">
        <v>527</v>
      </c>
      <c r="C663" s="129" t="str">
        <f>CONCATENATE("0x", DEC2HEX(27+HEX2DEC('inicio zonas'!$C$20)))</f>
        <v>0x1FB</v>
      </c>
      <c r="D663" s="56"/>
      <c r="E663" s="195"/>
      <c r="F663" s="137"/>
      <c r="G663" s="342" t="s">
        <v>923</v>
      </c>
      <c r="H663" s="407" t="s">
        <v>923</v>
      </c>
      <c r="I663" s="219"/>
      <c r="J663" s="136" t="s">
        <v>921</v>
      </c>
      <c r="K663" s="205" t="s">
        <v>919</v>
      </c>
      <c r="L663" s="323">
        <v>0</v>
      </c>
    </row>
    <row r="664" spans="1:12" x14ac:dyDescent="0.45">
      <c r="A664" s="689"/>
      <c r="B664" s="177" t="s">
        <v>528</v>
      </c>
      <c r="C664" s="129" t="str">
        <f>CONCATENATE("0x", DEC2HEX(28+HEX2DEC('inicio zonas'!$C$20)))</f>
        <v>0x1FC</v>
      </c>
      <c r="D664" s="56"/>
      <c r="E664" s="195"/>
      <c r="F664" s="137"/>
      <c r="G664" s="342" t="s">
        <v>923</v>
      </c>
      <c r="H664" s="407" t="s">
        <v>923</v>
      </c>
      <c r="I664" s="219"/>
      <c r="J664" s="136" t="s">
        <v>921</v>
      </c>
      <c r="K664" s="205" t="s">
        <v>919</v>
      </c>
      <c r="L664" s="323">
        <v>0</v>
      </c>
    </row>
    <row r="665" spans="1:12" x14ac:dyDescent="0.45">
      <c r="A665" s="689"/>
      <c r="B665" s="177" t="s">
        <v>529</v>
      </c>
      <c r="C665" s="129" t="str">
        <f>CONCATENATE("0x", DEC2HEX(29+HEX2DEC('inicio zonas'!$C$20)))</f>
        <v>0x1FD</v>
      </c>
      <c r="D665" s="56"/>
      <c r="E665" s="195"/>
      <c r="F665" s="137"/>
      <c r="G665" s="342" t="s">
        <v>923</v>
      </c>
      <c r="H665" s="407" t="s">
        <v>923</v>
      </c>
      <c r="I665" s="219"/>
      <c r="J665" s="136" t="s">
        <v>921</v>
      </c>
      <c r="K665" s="205" t="s">
        <v>919</v>
      </c>
      <c r="L665" s="323">
        <v>0</v>
      </c>
    </row>
    <row r="666" spans="1:12" x14ac:dyDescent="0.45">
      <c r="A666" s="689"/>
      <c r="B666" s="137" t="s">
        <v>530</v>
      </c>
      <c r="C666" s="129" t="str">
        <f>CONCATENATE("0x", DEC2HEX(30+HEX2DEC('inicio zonas'!$C$20)))</f>
        <v>0x1FE</v>
      </c>
      <c r="D666" s="56"/>
      <c r="E666" s="195"/>
      <c r="F666" s="137"/>
      <c r="G666" s="342" t="s">
        <v>923</v>
      </c>
      <c r="H666" s="407" t="s">
        <v>923</v>
      </c>
      <c r="I666" s="219"/>
      <c r="J666" s="136" t="s">
        <v>921</v>
      </c>
      <c r="K666" s="205" t="s">
        <v>919</v>
      </c>
      <c r="L666" s="323">
        <v>0</v>
      </c>
    </row>
    <row r="667" spans="1:12" x14ac:dyDescent="0.45">
      <c r="A667" s="689"/>
      <c r="B667" s="137" t="s">
        <v>522</v>
      </c>
      <c r="C667" s="129" t="str">
        <f>CONCATENATE("0x", DEC2HEX(31+HEX2DEC('inicio zonas'!$C$20)))</f>
        <v>0x1FF</v>
      </c>
      <c r="D667" s="196"/>
      <c r="E667" s="195"/>
      <c r="F667" s="198"/>
      <c r="G667" s="342" t="s">
        <v>923</v>
      </c>
      <c r="H667" s="407" t="s">
        <v>923</v>
      </c>
      <c r="I667" s="219"/>
      <c r="J667" s="136" t="s">
        <v>921</v>
      </c>
      <c r="K667" s="205" t="s">
        <v>919</v>
      </c>
      <c r="L667" s="323">
        <v>0</v>
      </c>
    </row>
    <row r="668" spans="1:12" x14ac:dyDescent="0.45">
      <c r="A668" s="689"/>
      <c r="B668" s="137" t="s">
        <v>531</v>
      </c>
      <c r="C668" s="129" t="str">
        <f>CONCATENATE("0x", DEC2HEX(32+HEX2DEC('inicio zonas'!$C$20)))</f>
        <v>0x200</v>
      </c>
      <c r="D668" s="196"/>
      <c r="E668" s="195"/>
      <c r="F668" s="198"/>
      <c r="G668" s="342" t="s">
        <v>923</v>
      </c>
      <c r="H668" s="407" t="s">
        <v>923</v>
      </c>
      <c r="I668" s="219"/>
      <c r="J668" s="136" t="s">
        <v>921</v>
      </c>
      <c r="K668" s="205" t="s">
        <v>919</v>
      </c>
      <c r="L668" s="323">
        <v>0</v>
      </c>
    </row>
    <row r="669" spans="1:12" x14ac:dyDescent="0.45">
      <c r="A669" s="689"/>
      <c r="B669" s="137" t="s">
        <v>532</v>
      </c>
      <c r="C669" s="129" t="str">
        <f>CONCATENATE("0x", DEC2HEX(33+HEX2DEC('inicio zonas'!$C$20)))</f>
        <v>0x201</v>
      </c>
      <c r="D669" s="196"/>
      <c r="E669" s="195"/>
      <c r="F669" s="198"/>
      <c r="G669" s="342" t="s">
        <v>923</v>
      </c>
      <c r="H669" s="407" t="s">
        <v>923</v>
      </c>
      <c r="I669" s="219"/>
      <c r="J669" s="136" t="s">
        <v>921</v>
      </c>
      <c r="K669" s="205" t="s">
        <v>919</v>
      </c>
      <c r="L669" s="323">
        <v>0</v>
      </c>
    </row>
    <row r="670" spans="1:12" x14ac:dyDescent="0.45">
      <c r="A670" s="689"/>
      <c r="B670" s="137" t="s">
        <v>533</v>
      </c>
      <c r="C670" s="129" t="str">
        <f>CONCATENATE("0x", DEC2HEX(34+HEX2DEC('inicio zonas'!$C$20)))</f>
        <v>0x202</v>
      </c>
      <c r="D670" s="196"/>
      <c r="E670" s="195"/>
      <c r="F670" s="198"/>
      <c r="G670" s="342" t="s">
        <v>923</v>
      </c>
      <c r="H670" s="407" t="s">
        <v>923</v>
      </c>
      <c r="I670" s="219"/>
      <c r="J670" s="136" t="s">
        <v>921</v>
      </c>
      <c r="K670" s="205" t="s">
        <v>919</v>
      </c>
      <c r="L670" s="323">
        <v>0</v>
      </c>
    </row>
    <row r="671" spans="1:12" x14ac:dyDescent="0.45">
      <c r="A671" s="689"/>
      <c r="B671" s="177" t="s">
        <v>534</v>
      </c>
      <c r="C671" s="129" t="str">
        <f>CONCATENATE("0x", DEC2HEX(35+HEX2DEC('inicio zonas'!$C$20)))</f>
        <v>0x203</v>
      </c>
      <c r="D671" s="196"/>
      <c r="E671" s="195"/>
      <c r="F671" s="198"/>
      <c r="G671" s="342" t="s">
        <v>923</v>
      </c>
      <c r="H671" s="407" t="s">
        <v>923</v>
      </c>
      <c r="I671" s="219"/>
      <c r="J671" s="136" t="s">
        <v>921</v>
      </c>
      <c r="K671" s="205" t="s">
        <v>919</v>
      </c>
      <c r="L671" s="323">
        <v>0</v>
      </c>
    </row>
    <row r="672" spans="1:12" x14ac:dyDescent="0.45">
      <c r="A672" s="689"/>
      <c r="B672" s="177" t="s">
        <v>535</v>
      </c>
      <c r="C672" s="129" t="str">
        <f>CONCATENATE("0x", DEC2HEX(36+HEX2DEC('inicio zonas'!$C$20)))</f>
        <v>0x204</v>
      </c>
      <c r="D672" s="56"/>
      <c r="E672" s="195"/>
      <c r="F672" s="137"/>
      <c r="G672" s="342" t="s">
        <v>923</v>
      </c>
      <c r="H672" s="407" t="s">
        <v>923</v>
      </c>
      <c r="I672" s="219"/>
      <c r="J672" s="136" t="s">
        <v>921</v>
      </c>
      <c r="K672" s="205" t="s">
        <v>919</v>
      </c>
      <c r="L672" s="323">
        <v>0</v>
      </c>
    </row>
    <row r="673" spans="1:12" x14ac:dyDescent="0.45">
      <c r="A673" s="689"/>
      <c r="B673" s="177" t="s">
        <v>536</v>
      </c>
      <c r="C673" s="129" t="str">
        <f>CONCATENATE("0x", DEC2HEX(37+HEX2DEC('inicio zonas'!$C$20)))</f>
        <v>0x205</v>
      </c>
      <c r="D673" s="56"/>
      <c r="E673" s="195"/>
      <c r="F673" s="137"/>
      <c r="G673" s="342" t="s">
        <v>923</v>
      </c>
      <c r="H673" s="407" t="s">
        <v>923</v>
      </c>
      <c r="I673" s="219"/>
      <c r="J673" s="136" t="s">
        <v>921</v>
      </c>
      <c r="K673" s="205" t="s">
        <v>919</v>
      </c>
      <c r="L673" s="323">
        <v>0</v>
      </c>
    </row>
    <row r="674" spans="1:12" x14ac:dyDescent="0.45">
      <c r="A674" s="689"/>
      <c r="B674" s="137" t="s">
        <v>538</v>
      </c>
      <c r="C674" s="129" t="str">
        <f>CONCATENATE("0x", DEC2HEX(38+HEX2DEC('inicio zonas'!$C$20)))</f>
        <v>0x206</v>
      </c>
      <c r="D674" s="56"/>
      <c r="E674" s="195"/>
      <c r="F674" s="137"/>
      <c r="G674" s="342" t="s">
        <v>923</v>
      </c>
      <c r="H674" s="407" t="s">
        <v>923</v>
      </c>
      <c r="I674" s="219"/>
      <c r="J674" s="136" t="s">
        <v>921</v>
      </c>
      <c r="K674" s="205" t="s">
        <v>919</v>
      </c>
      <c r="L674" s="323">
        <v>0</v>
      </c>
    </row>
    <row r="675" spans="1:12" x14ac:dyDescent="0.45">
      <c r="A675" s="689"/>
      <c r="B675" s="137" t="s">
        <v>537</v>
      </c>
      <c r="C675" s="129" t="str">
        <f>CONCATENATE("0x", DEC2HEX(39+HEX2DEC('inicio zonas'!$C$20)))</f>
        <v>0x207</v>
      </c>
      <c r="D675" s="56"/>
      <c r="E675" s="195"/>
      <c r="F675" s="137"/>
      <c r="G675" s="342" t="s">
        <v>923</v>
      </c>
      <c r="H675" s="407" t="s">
        <v>923</v>
      </c>
      <c r="I675" s="219"/>
      <c r="J675" s="136" t="s">
        <v>921</v>
      </c>
      <c r="K675" s="205" t="s">
        <v>919</v>
      </c>
      <c r="L675" s="323">
        <v>0</v>
      </c>
    </row>
    <row r="676" spans="1:12" x14ac:dyDescent="0.45">
      <c r="A676" s="689"/>
      <c r="B676" s="137" t="s">
        <v>539</v>
      </c>
      <c r="C676" s="129" t="str">
        <f>CONCATENATE("0x", DEC2HEX(40+HEX2DEC('inicio zonas'!$C$20)))</f>
        <v>0x208</v>
      </c>
      <c r="D676" s="56"/>
      <c r="E676" s="195"/>
      <c r="F676" s="137"/>
      <c r="G676" s="342" t="s">
        <v>923</v>
      </c>
      <c r="H676" s="407" t="s">
        <v>923</v>
      </c>
      <c r="I676" s="219"/>
      <c r="J676" s="136" t="s">
        <v>921</v>
      </c>
      <c r="K676" s="205" t="s">
        <v>919</v>
      </c>
      <c r="L676" s="323">
        <v>0</v>
      </c>
    </row>
    <row r="677" spans="1:12" x14ac:dyDescent="0.45">
      <c r="A677" s="689"/>
      <c r="B677" s="137" t="s">
        <v>540</v>
      </c>
      <c r="C677" s="129" t="str">
        <f>CONCATENATE("0x", DEC2HEX(41+HEX2DEC('inicio zonas'!$C$20)))</f>
        <v>0x209</v>
      </c>
      <c r="D677" s="196"/>
      <c r="E677" s="195"/>
      <c r="F677" s="198"/>
      <c r="G677" s="342" t="s">
        <v>923</v>
      </c>
      <c r="H677" s="407" t="s">
        <v>923</v>
      </c>
      <c r="I677" s="219"/>
      <c r="J677" s="136" t="s">
        <v>921</v>
      </c>
      <c r="K677" s="205" t="s">
        <v>919</v>
      </c>
      <c r="L677" s="323">
        <v>0</v>
      </c>
    </row>
    <row r="678" spans="1:12" x14ac:dyDescent="0.45">
      <c r="A678" s="689"/>
      <c r="B678" s="137" t="s">
        <v>541</v>
      </c>
      <c r="C678" s="129" t="str">
        <f>CONCATENATE("0x", DEC2HEX(42+HEX2DEC('inicio zonas'!$C$20)))</f>
        <v>0x20A</v>
      </c>
      <c r="D678" s="196"/>
      <c r="E678" s="195"/>
      <c r="F678" s="198"/>
      <c r="G678" s="342" t="s">
        <v>923</v>
      </c>
      <c r="H678" s="407" t="s">
        <v>923</v>
      </c>
      <c r="I678" s="219"/>
      <c r="J678" s="136" t="s">
        <v>921</v>
      </c>
      <c r="K678" s="205" t="s">
        <v>919</v>
      </c>
      <c r="L678" s="323">
        <v>0</v>
      </c>
    </row>
    <row r="679" spans="1:12" x14ac:dyDescent="0.45">
      <c r="A679" s="689"/>
      <c r="B679" s="177" t="s">
        <v>542</v>
      </c>
      <c r="C679" s="129" t="str">
        <f>CONCATENATE("0x", DEC2HEX(43+HEX2DEC('inicio zonas'!$C$20)))</f>
        <v>0x20B</v>
      </c>
      <c r="D679" s="196"/>
      <c r="E679" s="195"/>
      <c r="F679" s="198"/>
      <c r="G679" s="342" t="s">
        <v>923</v>
      </c>
      <c r="H679" s="407" t="s">
        <v>923</v>
      </c>
      <c r="I679" s="219"/>
      <c r="J679" s="136" t="s">
        <v>921</v>
      </c>
      <c r="K679" s="205" t="s">
        <v>919</v>
      </c>
      <c r="L679" s="323">
        <v>0</v>
      </c>
    </row>
    <row r="680" spans="1:12" x14ac:dyDescent="0.45">
      <c r="A680" s="689"/>
      <c r="B680" s="177" t="s">
        <v>543</v>
      </c>
      <c r="C680" s="129" t="str">
        <f>CONCATENATE("0x", DEC2HEX(44+HEX2DEC('inicio zonas'!$C$20)))</f>
        <v>0x20C</v>
      </c>
      <c r="D680" s="196"/>
      <c r="E680" s="195"/>
      <c r="F680" s="198"/>
      <c r="G680" s="342" t="s">
        <v>923</v>
      </c>
      <c r="H680" s="407" t="s">
        <v>923</v>
      </c>
      <c r="I680" s="219"/>
      <c r="J680" s="136" t="s">
        <v>921</v>
      </c>
      <c r="K680" s="205" t="s">
        <v>919</v>
      </c>
      <c r="L680" s="323">
        <v>0</v>
      </c>
    </row>
    <row r="681" spans="1:12" x14ac:dyDescent="0.45">
      <c r="A681" s="689"/>
      <c r="B681" s="177" t="s">
        <v>544</v>
      </c>
      <c r="C681" s="129" t="str">
        <f>CONCATENATE("0x", DEC2HEX(45+HEX2DEC('inicio zonas'!$C$20)))</f>
        <v>0x20D</v>
      </c>
      <c r="D681" s="196"/>
      <c r="E681" s="195"/>
      <c r="F681" s="198"/>
      <c r="G681" s="343"/>
      <c r="H681" s="528"/>
      <c r="I681" s="598"/>
      <c r="J681" s="197"/>
      <c r="K681" s="197"/>
      <c r="L681" s="323"/>
    </row>
    <row r="682" spans="1:12" x14ac:dyDescent="0.45">
      <c r="A682" s="689"/>
      <c r="C682" s="129" t="str">
        <f>CONCATENATE("0x", DEC2HEX(46+HEX2DEC('inicio zonas'!$C$20)))</f>
        <v>0x20E</v>
      </c>
      <c r="D682" s="56"/>
      <c r="E682" s="195"/>
      <c r="F682" s="137"/>
      <c r="G682" s="342"/>
      <c r="H682" s="407"/>
      <c r="I682" s="219"/>
      <c r="J682" s="136"/>
      <c r="K682" s="205"/>
      <c r="L682" s="323"/>
    </row>
    <row r="683" spans="1:12" x14ac:dyDescent="0.45">
      <c r="A683" s="689"/>
      <c r="C683" s="129" t="str">
        <f>CONCATENATE("0x", DEC2HEX(47+HEX2DEC('inicio zonas'!$C$20)))</f>
        <v>0x20F</v>
      </c>
      <c r="D683" s="56"/>
      <c r="E683" s="195"/>
      <c r="F683" s="137"/>
      <c r="G683" s="342"/>
      <c r="H683" s="407"/>
      <c r="I683" s="219"/>
      <c r="J683" s="136"/>
      <c r="K683" s="205"/>
      <c r="L683" s="323"/>
    </row>
    <row r="684" spans="1:12" x14ac:dyDescent="0.45">
      <c r="A684" s="689"/>
      <c r="C684" s="129" t="str">
        <f>CONCATENATE("0x", DEC2HEX(48+HEX2DEC('inicio zonas'!$C$20)))</f>
        <v>0x210</v>
      </c>
      <c r="D684" s="56"/>
      <c r="E684" s="195"/>
      <c r="F684" s="137"/>
      <c r="G684" s="342"/>
      <c r="H684" s="407"/>
      <c r="I684" s="219"/>
      <c r="J684" s="136"/>
      <c r="K684" s="205"/>
      <c r="L684" s="323"/>
    </row>
    <row r="685" spans="1:12" x14ac:dyDescent="0.45">
      <c r="A685" s="689"/>
      <c r="C685" s="129" t="str">
        <f>CONCATENATE("0x", DEC2HEX(49+HEX2DEC('inicio zonas'!$C$20)))</f>
        <v>0x211</v>
      </c>
      <c r="D685" s="56"/>
      <c r="E685" s="195"/>
      <c r="F685" s="137"/>
      <c r="G685" s="342"/>
      <c r="H685" s="407"/>
      <c r="I685" s="219"/>
      <c r="J685" s="136"/>
      <c r="K685" s="205"/>
      <c r="L685" s="323"/>
    </row>
    <row r="686" spans="1:12" x14ac:dyDescent="0.45">
      <c r="A686" s="689"/>
      <c r="C686" s="129" t="str">
        <f>CONCATENATE("0x", DEC2HEX(50+HEX2DEC('inicio zonas'!$C$20)))</f>
        <v>0x212</v>
      </c>
      <c r="D686" s="56"/>
      <c r="E686" s="195"/>
      <c r="F686" s="137"/>
      <c r="G686" s="342"/>
      <c r="H686" s="407"/>
      <c r="I686" s="219"/>
      <c r="J686" s="136"/>
      <c r="K686" s="205"/>
      <c r="L686" s="323"/>
    </row>
    <row r="687" spans="1:12" x14ac:dyDescent="0.45">
      <c r="A687" s="689"/>
      <c r="B687" s="194"/>
      <c r="C687" s="129" t="str">
        <f>CONCATENATE("0x", DEC2HEX(51+HEX2DEC('inicio zonas'!$C$20)))</f>
        <v>0x213</v>
      </c>
      <c r="D687" s="196"/>
      <c r="E687" s="195"/>
      <c r="F687" s="198"/>
      <c r="G687" s="343"/>
      <c r="H687" s="528"/>
      <c r="I687" s="598"/>
      <c r="J687" s="197"/>
      <c r="K687" s="197"/>
      <c r="L687" s="323"/>
    </row>
    <row r="688" spans="1:12" x14ac:dyDescent="0.45">
      <c r="A688" s="689"/>
      <c r="C688" s="129" t="str">
        <f>CONCATENATE("0x", DEC2HEX(52+HEX2DEC('inicio zonas'!$C$20)))</f>
        <v>0x214</v>
      </c>
      <c r="D688" s="196"/>
      <c r="E688" s="195"/>
      <c r="F688" s="198"/>
      <c r="G688" s="342"/>
      <c r="H688" s="407"/>
      <c r="I688" s="219"/>
      <c r="J688" s="136"/>
      <c r="K688" s="205"/>
      <c r="L688" s="323"/>
    </row>
    <row r="689" spans="1:14" x14ac:dyDescent="0.45">
      <c r="A689" s="689"/>
      <c r="C689" s="129" t="str">
        <f>CONCATENATE("0x", DEC2HEX(53+HEX2DEC('inicio zonas'!$C$20)))</f>
        <v>0x215</v>
      </c>
      <c r="D689" s="196"/>
      <c r="E689" s="195"/>
      <c r="F689" s="198"/>
      <c r="G689" s="342"/>
      <c r="H689" s="407"/>
      <c r="I689" s="219"/>
      <c r="J689" s="136"/>
      <c r="K689" s="205"/>
      <c r="L689" s="323"/>
    </row>
    <row r="690" spans="1:14" x14ac:dyDescent="0.45">
      <c r="A690" s="689"/>
      <c r="C690" s="129" t="str">
        <f>CONCATENATE("0x", DEC2HEX(54+HEX2DEC('inicio zonas'!$C$20)))</f>
        <v>0x216</v>
      </c>
      <c r="D690" s="196"/>
      <c r="E690" s="195"/>
      <c r="F690" s="198"/>
      <c r="G690" s="342"/>
      <c r="H690" s="407"/>
      <c r="I690" s="219"/>
      <c r="J690" s="136"/>
      <c r="K690" s="205"/>
      <c r="L690" s="323"/>
    </row>
    <row r="691" spans="1:14" x14ac:dyDescent="0.45">
      <c r="A691" s="690"/>
      <c r="B691" s="177"/>
      <c r="C691" s="129" t="str">
        <f>CONCATENATE("0x", DEC2HEX(55+HEX2DEC('inicio zonas'!$C$20)))</f>
        <v>0x217</v>
      </c>
      <c r="D691" s="196"/>
      <c r="E691" s="195"/>
      <c r="F691" s="198"/>
      <c r="G691" s="343"/>
      <c r="H691" s="528"/>
      <c r="I691" s="598"/>
      <c r="J691" s="197"/>
      <c r="K691" s="197"/>
      <c r="L691" s="323"/>
    </row>
    <row r="692" spans="1:14" x14ac:dyDescent="0.45">
      <c r="G692" s="504"/>
      <c r="H692" s="276"/>
      <c r="I692" s="123"/>
      <c r="J692" s="120"/>
      <c r="K692" s="120"/>
      <c r="L692" s="292"/>
    </row>
    <row r="693" spans="1:14" x14ac:dyDescent="0.45">
      <c r="G693" s="504"/>
      <c r="H693" s="276"/>
      <c r="I693" s="123"/>
      <c r="J693" s="120"/>
      <c r="K693" s="120"/>
      <c r="L693" s="292"/>
      <c r="N693" t="s">
        <v>828</v>
      </c>
    </row>
    <row r="694" spans="1:14" ht="15" customHeight="1" x14ac:dyDescent="0.45">
      <c r="A694" s="674" t="s">
        <v>551</v>
      </c>
      <c r="B694" s="126" t="s">
        <v>894</v>
      </c>
      <c r="C694" s="405" t="str">
        <f>CONCATENATE("0x", DEC2HEX(0+HEX2DEC('inicio zonas'!$C$21)))</f>
        <v>0x220</v>
      </c>
      <c r="D694" s="127"/>
      <c r="E694" s="170"/>
      <c r="F694" s="127"/>
      <c r="G694" s="501"/>
      <c r="H694" s="408"/>
      <c r="I694" s="572"/>
      <c r="J694" s="216"/>
      <c r="K694" s="216"/>
      <c r="L694" s="312"/>
    </row>
    <row r="695" spans="1:14" x14ac:dyDescent="0.45">
      <c r="A695" s="675"/>
      <c r="B695" s="148">
        <v>0</v>
      </c>
      <c r="C695" s="28" t="s">
        <v>2</v>
      </c>
      <c r="D695" s="21" t="s">
        <v>895</v>
      </c>
      <c r="E695" s="42" t="str">
        <f>CONCATENATE($C$694,DEC2HEX(B695))</f>
        <v>0x2200</v>
      </c>
      <c r="F695" s="119" t="s">
        <v>898</v>
      </c>
      <c r="G695" s="504" t="s">
        <v>923</v>
      </c>
      <c r="H695" s="409" t="s">
        <v>923</v>
      </c>
      <c r="I695" s="563" t="s">
        <v>655</v>
      </c>
      <c r="J695" s="298" t="s">
        <v>921</v>
      </c>
      <c r="K695" s="298" t="s">
        <v>919</v>
      </c>
      <c r="L695" s="313">
        <v>0</v>
      </c>
    </row>
    <row r="696" spans="1:14" x14ac:dyDescent="0.45">
      <c r="A696" s="675"/>
      <c r="B696" s="148">
        <f>B695+1</f>
        <v>1</v>
      </c>
      <c r="C696" s="28" t="s">
        <v>4</v>
      </c>
      <c r="D696" s="21"/>
      <c r="E696" s="42" t="str">
        <f t="shared" ref="E696:E710" si="84">CONCATENATE($C$694,DEC2HEX(B696))</f>
        <v>0x2201</v>
      </c>
      <c r="F696" s="128"/>
      <c r="G696" s="504"/>
      <c r="H696" s="409"/>
      <c r="I696" s="563"/>
      <c r="J696" s="298"/>
      <c r="K696" s="298"/>
      <c r="L696" s="313"/>
    </row>
    <row r="697" spans="1:14" x14ac:dyDescent="0.45">
      <c r="A697" s="675"/>
      <c r="B697" s="148">
        <f t="shared" ref="B697:B710" si="85">B696+1</f>
        <v>2</v>
      </c>
      <c r="C697" s="28" t="s">
        <v>6</v>
      </c>
      <c r="D697" s="21"/>
      <c r="E697" s="42" t="str">
        <f t="shared" si="84"/>
        <v>0x2202</v>
      </c>
      <c r="F697" s="119"/>
      <c r="G697" s="504"/>
      <c r="H697" s="409"/>
      <c r="I697" s="563"/>
      <c r="J697" s="298"/>
      <c r="K697" s="298"/>
      <c r="L697" s="313"/>
    </row>
    <row r="698" spans="1:14" x14ac:dyDescent="0.45">
      <c r="A698" s="675"/>
      <c r="B698" s="148">
        <f t="shared" si="85"/>
        <v>3</v>
      </c>
      <c r="C698" s="28" t="s">
        <v>7</v>
      </c>
      <c r="D698" s="21"/>
      <c r="E698" s="42" t="str">
        <f t="shared" si="84"/>
        <v>0x2203</v>
      </c>
      <c r="F698" s="119"/>
      <c r="G698" s="504"/>
      <c r="H698" s="409"/>
      <c r="I698" s="563"/>
      <c r="J698" s="298"/>
      <c r="K698" s="298"/>
      <c r="L698" s="313"/>
    </row>
    <row r="699" spans="1:14" x14ac:dyDescent="0.45">
      <c r="A699" s="675"/>
      <c r="B699" s="148">
        <f t="shared" si="85"/>
        <v>4</v>
      </c>
      <c r="C699" s="28" t="s">
        <v>8</v>
      </c>
      <c r="D699" s="21"/>
      <c r="E699" s="42" t="str">
        <f t="shared" si="84"/>
        <v>0x2204</v>
      </c>
      <c r="F699" s="119"/>
      <c r="G699" s="504"/>
      <c r="H699" s="409"/>
      <c r="I699" s="563"/>
      <c r="J699" s="298"/>
      <c r="K699" s="298"/>
      <c r="L699" s="313"/>
    </row>
    <row r="700" spans="1:14" x14ac:dyDescent="0.45">
      <c r="A700" s="675"/>
      <c r="B700" s="148">
        <f t="shared" si="85"/>
        <v>5</v>
      </c>
      <c r="C700" s="28" t="s">
        <v>9</v>
      </c>
      <c r="D700" s="21"/>
      <c r="E700" s="42" t="str">
        <f t="shared" si="84"/>
        <v>0x2205</v>
      </c>
      <c r="F700" s="119"/>
      <c r="G700" s="504"/>
      <c r="H700" s="409"/>
      <c r="I700" s="563"/>
      <c r="J700" s="298"/>
      <c r="K700" s="298"/>
      <c r="L700" s="313"/>
    </row>
    <row r="701" spans="1:14" x14ac:dyDescent="0.45">
      <c r="A701" s="675"/>
      <c r="B701" s="148">
        <f t="shared" si="85"/>
        <v>6</v>
      </c>
      <c r="C701" s="28" t="s">
        <v>10</v>
      </c>
      <c r="D701" s="21"/>
      <c r="E701" s="42" t="str">
        <f t="shared" si="84"/>
        <v>0x2206</v>
      </c>
      <c r="F701" s="119"/>
      <c r="G701" s="504"/>
      <c r="H701" s="409"/>
      <c r="I701" s="563"/>
      <c r="J701" s="298"/>
      <c r="K701" s="298"/>
      <c r="L701" s="313"/>
    </row>
    <row r="702" spans="1:14" x14ac:dyDescent="0.45">
      <c r="A702" s="675"/>
      <c r="B702" s="148">
        <f t="shared" si="85"/>
        <v>7</v>
      </c>
      <c r="C702" s="28" t="s">
        <v>12</v>
      </c>
      <c r="D702" s="21"/>
      <c r="E702" s="42" t="str">
        <f t="shared" si="84"/>
        <v>0x2207</v>
      </c>
      <c r="F702" s="119"/>
      <c r="G702" s="504"/>
      <c r="H702" s="409"/>
      <c r="I702" s="563"/>
      <c r="J702" s="437"/>
      <c r="K702" s="437"/>
      <c r="L702" s="341"/>
    </row>
    <row r="703" spans="1:14" x14ac:dyDescent="0.45">
      <c r="A703" s="675"/>
      <c r="B703" s="148">
        <f t="shared" si="85"/>
        <v>8</v>
      </c>
      <c r="C703" s="28" t="s">
        <v>13</v>
      </c>
      <c r="D703" s="351"/>
      <c r="E703" s="42" t="str">
        <f t="shared" si="84"/>
        <v>0x2208</v>
      </c>
      <c r="F703" s="439"/>
      <c r="G703" s="515"/>
      <c r="H703" s="439"/>
      <c r="I703" s="488"/>
      <c r="J703" s="439"/>
      <c r="K703" s="439"/>
      <c r="L703" s="341"/>
    </row>
    <row r="704" spans="1:14" x14ac:dyDescent="0.45">
      <c r="A704" s="675"/>
      <c r="B704" s="148">
        <f t="shared" si="85"/>
        <v>9</v>
      </c>
      <c r="C704" s="28" t="s">
        <v>14</v>
      </c>
      <c r="D704" s="351"/>
      <c r="E704" s="42" t="str">
        <f t="shared" si="84"/>
        <v>0x2209</v>
      </c>
      <c r="F704" s="439"/>
      <c r="G704" s="515"/>
      <c r="H704" s="439"/>
      <c r="I704" s="488"/>
      <c r="J704" s="439"/>
      <c r="K704" s="439"/>
      <c r="L704" s="341"/>
    </row>
    <row r="705" spans="1:16" x14ac:dyDescent="0.45">
      <c r="A705" s="675"/>
      <c r="B705" s="148">
        <f t="shared" si="85"/>
        <v>10</v>
      </c>
      <c r="C705" s="28" t="s">
        <v>15</v>
      </c>
      <c r="D705" s="351"/>
      <c r="E705" s="42" t="str">
        <f t="shared" si="84"/>
        <v>0x220A</v>
      </c>
      <c r="F705" s="439"/>
      <c r="G705" s="515"/>
      <c r="H705" s="439"/>
      <c r="I705" s="488"/>
      <c r="J705" s="439"/>
      <c r="K705" s="439"/>
      <c r="L705" s="341"/>
    </row>
    <row r="706" spans="1:16" x14ac:dyDescent="0.45">
      <c r="A706" s="675"/>
      <c r="B706" s="148">
        <f t="shared" si="85"/>
        <v>11</v>
      </c>
      <c r="C706" s="28" t="s">
        <v>16</v>
      </c>
      <c r="D706" s="351"/>
      <c r="E706" s="42" t="str">
        <f t="shared" si="84"/>
        <v>0x220B</v>
      </c>
      <c r="F706" s="439"/>
      <c r="G706" s="515"/>
      <c r="H706" s="439"/>
      <c r="I706" s="488"/>
      <c r="J706" s="439"/>
      <c r="K706" s="439"/>
      <c r="L706" s="341"/>
    </row>
    <row r="707" spans="1:16" x14ac:dyDescent="0.45">
      <c r="A707" s="675"/>
      <c r="B707" s="148">
        <f t="shared" si="85"/>
        <v>12</v>
      </c>
      <c r="C707" s="28" t="s">
        <v>17</v>
      </c>
      <c r="D707" s="351"/>
      <c r="E707" s="42" t="str">
        <f t="shared" si="84"/>
        <v>0x220C</v>
      </c>
      <c r="F707" s="439"/>
      <c r="G707" s="515"/>
      <c r="H707" s="439"/>
      <c r="I707" s="488"/>
      <c r="J707" s="439"/>
      <c r="K707" s="439"/>
      <c r="L707" s="341"/>
    </row>
    <row r="708" spans="1:16" x14ac:dyDescent="0.45">
      <c r="A708" s="675"/>
      <c r="B708" s="148">
        <f t="shared" si="85"/>
        <v>13</v>
      </c>
      <c r="C708" s="28" t="s">
        <v>18</v>
      </c>
      <c r="D708" s="351"/>
      <c r="E708" s="42" t="str">
        <f t="shared" si="84"/>
        <v>0x220D</v>
      </c>
      <c r="F708" s="439"/>
      <c r="G708" s="515"/>
      <c r="H708" s="439"/>
      <c r="I708" s="488"/>
      <c r="J708" s="439"/>
      <c r="K708" s="439"/>
      <c r="L708" s="341"/>
    </row>
    <row r="709" spans="1:16" x14ac:dyDescent="0.45">
      <c r="A709" s="675"/>
      <c r="B709" s="148">
        <f t="shared" si="85"/>
        <v>14</v>
      </c>
      <c r="C709" s="28" t="s">
        <v>19</v>
      </c>
      <c r="D709" s="351"/>
      <c r="E709" s="42" t="str">
        <f t="shared" si="84"/>
        <v>0x220E</v>
      </c>
      <c r="F709" s="439"/>
      <c r="G709" s="515"/>
      <c r="H709" s="439"/>
      <c r="I709" s="488"/>
      <c r="J709" s="439"/>
      <c r="K709" s="439"/>
      <c r="L709" s="341"/>
    </row>
    <row r="710" spans="1:16" x14ac:dyDescent="0.45">
      <c r="A710" s="675"/>
      <c r="B710" s="45">
        <f t="shared" si="85"/>
        <v>15</v>
      </c>
      <c r="C710" s="46" t="s">
        <v>20</v>
      </c>
      <c r="D710" s="352"/>
      <c r="E710" s="42" t="str">
        <f t="shared" si="84"/>
        <v>0x220F</v>
      </c>
      <c r="F710" s="440"/>
      <c r="G710" s="516"/>
      <c r="H710" s="440"/>
      <c r="I710" s="490"/>
      <c r="J710" s="440"/>
      <c r="K710" s="440"/>
      <c r="L710" s="441"/>
    </row>
    <row r="711" spans="1:16" x14ac:dyDescent="0.45">
      <c r="A711" s="675"/>
      <c r="B711" s="137" t="s">
        <v>552</v>
      </c>
      <c r="C711" s="129" t="str">
        <f>CONCATENATE("0x", DEC2HEX(1+HEX2DEC('inicio zonas'!$C$21)))</f>
        <v>0x221</v>
      </c>
      <c r="D711" s="135"/>
      <c r="E711" s="165"/>
      <c r="F711" s="167" t="s">
        <v>630</v>
      </c>
      <c r="G711" s="342" t="s">
        <v>923</v>
      </c>
      <c r="H711" s="407" t="s">
        <v>923</v>
      </c>
      <c r="I711" s="574"/>
      <c r="J711" s="136" t="s">
        <v>921</v>
      </c>
      <c r="K711" s="205" t="s">
        <v>919</v>
      </c>
      <c r="L711" s="323">
        <v>0</v>
      </c>
      <c r="N711" s="91" t="s">
        <v>829</v>
      </c>
      <c r="O711" s="91" t="s">
        <v>830</v>
      </c>
      <c r="P711" s="91" t="s">
        <v>831</v>
      </c>
    </row>
    <row r="712" spans="1:16" x14ac:dyDescent="0.45">
      <c r="A712" s="675"/>
      <c r="B712" s="137" t="s">
        <v>553</v>
      </c>
      <c r="C712" s="129" t="str">
        <f>CONCATENATE("0x", DEC2HEX(2+HEX2DEC('inicio zonas'!$C$21)))</f>
        <v>0x222</v>
      </c>
      <c r="D712" s="135"/>
      <c r="E712" s="165"/>
      <c r="F712" s="135"/>
      <c r="G712" s="342" t="s">
        <v>923</v>
      </c>
      <c r="H712" s="407" t="s">
        <v>923</v>
      </c>
      <c r="I712" s="574"/>
      <c r="J712" s="136" t="s">
        <v>921</v>
      </c>
      <c r="K712" s="205" t="s">
        <v>919</v>
      </c>
      <c r="L712" s="323">
        <v>0</v>
      </c>
      <c r="N712" s="87" t="s">
        <v>833</v>
      </c>
      <c r="O712" s="87" t="s">
        <v>835</v>
      </c>
      <c r="P712" s="87" t="s">
        <v>836</v>
      </c>
    </row>
    <row r="713" spans="1:16" x14ac:dyDescent="0.45">
      <c r="A713" s="675"/>
      <c r="B713" s="137" t="s">
        <v>554</v>
      </c>
      <c r="C713" s="129" t="str">
        <f>CONCATENATE("0x", DEC2HEX(3+HEX2DEC('inicio zonas'!$C$21)))</f>
        <v>0x223</v>
      </c>
      <c r="D713" s="135"/>
      <c r="E713" s="165"/>
      <c r="F713" s="167" t="s">
        <v>629</v>
      </c>
      <c r="G713" s="342" t="s">
        <v>923</v>
      </c>
      <c r="H713" s="407" t="s">
        <v>923</v>
      </c>
      <c r="I713" s="574"/>
      <c r="J713" s="136" t="s">
        <v>922</v>
      </c>
      <c r="K713" s="205" t="s">
        <v>919</v>
      </c>
      <c r="L713" s="323"/>
      <c r="N713" s="410">
        <v>192168</v>
      </c>
      <c r="O713" s="410" t="s">
        <v>834</v>
      </c>
      <c r="P713" s="87" t="s">
        <v>832</v>
      </c>
    </row>
    <row r="714" spans="1:16" x14ac:dyDescent="0.45">
      <c r="A714" s="675"/>
      <c r="B714" s="137" t="s">
        <v>555</v>
      </c>
      <c r="C714" s="129" t="str">
        <f>CONCATENATE("0x", DEC2HEX(4+HEX2DEC('inicio zonas'!$C$21)))</f>
        <v>0x224</v>
      </c>
      <c r="D714" s="135"/>
      <c r="E714" s="165"/>
      <c r="F714" s="135"/>
      <c r="G714" s="342" t="s">
        <v>923</v>
      </c>
      <c r="H714" s="407" t="s">
        <v>923</v>
      </c>
      <c r="I714" s="574"/>
      <c r="J714" s="136" t="s">
        <v>922</v>
      </c>
      <c r="K714" s="205" t="s">
        <v>919</v>
      </c>
      <c r="L714" s="323"/>
    </row>
    <row r="715" spans="1:16" x14ac:dyDescent="0.45">
      <c r="A715" s="675"/>
      <c r="B715" s="137" t="s">
        <v>556</v>
      </c>
      <c r="C715" s="129" t="str">
        <f>CONCATENATE("0x", DEC2HEX(5+HEX2DEC('inicio zonas'!$C$21)))</f>
        <v>0x225</v>
      </c>
      <c r="D715" s="135"/>
      <c r="E715" s="165"/>
      <c r="F715" s="167"/>
      <c r="G715" s="342" t="s">
        <v>923</v>
      </c>
      <c r="H715" s="407" t="s">
        <v>923</v>
      </c>
      <c r="I715" s="574"/>
      <c r="J715" s="136" t="s">
        <v>922</v>
      </c>
      <c r="K715" s="205" t="s">
        <v>919</v>
      </c>
      <c r="L715" s="323"/>
    </row>
    <row r="716" spans="1:16" x14ac:dyDescent="0.45">
      <c r="A716" s="675"/>
      <c r="B716" s="137" t="s">
        <v>889</v>
      </c>
      <c r="C716" s="129" t="str">
        <f>CONCATENATE("0x", DEC2HEX(6+HEX2DEC('inicio zonas'!$C$21)))</f>
        <v>0x226</v>
      </c>
      <c r="D716" s="135"/>
      <c r="E716" s="165"/>
      <c r="F716" s="167"/>
      <c r="G716" s="342" t="s">
        <v>923</v>
      </c>
      <c r="H716" s="407" t="s">
        <v>923</v>
      </c>
      <c r="I716" s="574" t="s">
        <v>655</v>
      </c>
      <c r="J716" s="136" t="s">
        <v>921</v>
      </c>
      <c r="K716" s="205" t="s">
        <v>919</v>
      </c>
      <c r="L716" s="323">
        <v>0</v>
      </c>
      <c r="N716" s="91" t="s">
        <v>829</v>
      </c>
      <c r="O716" s="91" t="s">
        <v>830</v>
      </c>
      <c r="P716" s="91" t="s">
        <v>831</v>
      </c>
    </row>
    <row r="717" spans="1:16" x14ac:dyDescent="0.45">
      <c r="A717" s="675"/>
      <c r="B717" s="137" t="s">
        <v>888</v>
      </c>
      <c r="C717" s="129" t="str">
        <f>CONCATENATE("0x", DEC2HEX(7+HEX2DEC('inicio zonas'!$C$21)))</f>
        <v>0x227</v>
      </c>
      <c r="D717" s="135"/>
      <c r="E717" s="165"/>
      <c r="F717" s="135"/>
      <c r="G717" s="342" t="s">
        <v>923</v>
      </c>
      <c r="H717" s="407" t="s">
        <v>923</v>
      </c>
      <c r="I717" s="574" t="s">
        <v>655</v>
      </c>
      <c r="J717" s="136" t="s">
        <v>921</v>
      </c>
      <c r="K717" s="205" t="s">
        <v>919</v>
      </c>
      <c r="L717" s="323">
        <v>0</v>
      </c>
      <c r="N717" s="87" t="s">
        <v>833</v>
      </c>
      <c r="O717" s="87" t="s">
        <v>835</v>
      </c>
      <c r="P717" s="87" t="s">
        <v>836</v>
      </c>
    </row>
    <row r="718" spans="1:16" x14ac:dyDescent="0.45">
      <c r="A718" s="675"/>
      <c r="B718" s="137" t="s">
        <v>890</v>
      </c>
      <c r="C718" s="129" t="str">
        <f>CONCATENATE("0x", DEC2HEX(8+HEX2DEC('inicio zonas'!$C$21)))</f>
        <v>0x228</v>
      </c>
      <c r="D718" s="135"/>
      <c r="E718" s="165"/>
      <c r="F718" s="167"/>
      <c r="G718" s="342" t="s">
        <v>923</v>
      </c>
      <c r="H718" s="407" t="s">
        <v>923</v>
      </c>
      <c r="I718" s="574" t="s">
        <v>655</v>
      </c>
      <c r="J718" s="136" t="s">
        <v>921</v>
      </c>
      <c r="K718" s="205" t="s">
        <v>919</v>
      </c>
      <c r="L718" s="323">
        <v>0</v>
      </c>
      <c r="N718" s="91" t="s">
        <v>829</v>
      </c>
      <c r="O718" s="91" t="s">
        <v>830</v>
      </c>
      <c r="P718" s="91" t="s">
        <v>831</v>
      </c>
    </row>
    <row r="719" spans="1:16" x14ac:dyDescent="0.45">
      <c r="A719" s="675"/>
      <c r="B719" s="137" t="s">
        <v>891</v>
      </c>
      <c r="C719" s="129" t="str">
        <f>CONCATENATE("0x", DEC2HEX(9+HEX2DEC('inicio zonas'!$C$21)))</f>
        <v>0x229</v>
      </c>
      <c r="D719" s="135"/>
      <c r="E719" s="165"/>
      <c r="F719" s="135"/>
      <c r="G719" s="342" t="s">
        <v>923</v>
      </c>
      <c r="H719" s="407" t="s">
        <v>923</v>
      </c>
      <c r="I719" s="574" t="s">
        <v>655</v>
      </c>
      <c r="J719" s="136" t="s">
        <v>921</v>
      </c>
      <c r="K719" s="205" t="s">
        <v>919</v>
      </c>
      <c r="L719" s="323">
        <v>0</v>
      </c>
      <c r="N719" s="87" t="s">
        <v>833</v>
      </c>
      <c r="O719" s="87" t="s">
        <v>835</v>
      </c>
      <c r="P719" s="87" t="s">
        <v>836</v>
      </c>
    </row>
    <row r="720" spans="1:16" x14ac:dyDescent="0.45">
      <c r="A720" s="675"/>
      <c r="B720" s="137" t="s">
        <v>893</v>
      </c>
      <c r="C720" s="129" t="str">
        <f>CONCATENATE("0x", DEC2HEX(10+HEX2DEC('inicio zonas'!$C$21)))</f>
        <v>0x22A</v>
      </c>
      <c r="D720" s="135"/>
      <c r="E720" s="165"/>
      <c r="F720" s="167"/>
      <c r="G720" s="342" t="s">
        <v>923</v>
      </c>
      <c r="H720" s="407" t="s">
        <v>923</v>
      </c>
      <c r="I720" s="574" t="s">
        <v>655</v>
      </c>
      <c r="J720" s="136" t="s">
        <v>921</v>
      </c>
      <c r="K720" s="205" t="s">
        <v>919</v>
      </c>
      <c r="L720" s="323">
        <v>0</v>
      </c>
      <c r="N720" s="91" t="s">
        <v>829</v>
      </c>
      <c r="O720" s="91" t="s">
        <v>830</v>
      </c>
      <c r="P720" s="91" t="s">
        <v>831</v>
      </c>
    </row>
    <row r="721" spans="1:16" x14ac:dyDescent="0.45">
      <c r="A721" s="676"/>
      <c r="B721" s="137" t="s">
        <v>892</v>
      </c>
      <c r="C721" s="129" t="str">
        <f>CONCATENATE("0x", DEC2HEX(11+HEX2DEC('inicio zonas'!$C$21)))</f>
        <v>0x22B</v>
      </c>
      <c r="D721" s="135"/>
      <c r="E721" s="165"/>
      <c r="F721" s="135"/>
      <c r="G721" s="342" t="s">
        <v>923</v>
      </c>
      <c r="H721" s="407" t="s">
        <v>923</v>
      </c>
      <c r="I721" s="574" t="s">
        <v>655</v>
      </c>
      <c r="J721" s="136" t="s">
        <v>921</v>
      </c>
      <c r="K721" s="205" t="s">
        <v>919</v>
      </c>
      <c r="L721" s="323">
        <v>0</v>
      </c>
      <c r="N721" s="87" t="s">
        <v>833</v>
      </c>
      <c r="O721" s="87" t="s">
        <v>835</v>
      </c>
      <c r="P721" s="87" t="s">
        <v>836</v>
      </c>
    </row>
    <row r="722" spans="1:16" x14ac:dyDescent="0.45">
      <c r="A722" s="438"/>
      <c r="B722" s="119"/>
      <c r="C722" s="139"/>
      <c r="D722" s="119"/>
      <c r="E722" s="119"/>
      <c r="F722" s="119"/>
      <c r="G722" s="119"/>
      <c r="H722" s="276"/>
      <c r="I722" s="123"/>
      <c r="J722" s="120"/>
      <c r="K722" s="120"/>
      <c r="L722" s="120"/>
      <c r="N722" s="21"/>
      <c r="O722" s="21"/>
      <c r="P722" s="21"/>
    </row>
    <row r="723" spans="1:16" x14ac:dyDescent="0.45">
      <c r="H723" s="276"/>
      <c r="I723" s="123"/>
    </row>
    <row r="724" spans="1:16" x14ac:dyDescent="0.45">
      <c r="A724" s="674" t="s">
        <v>817</v>
      </c>
      <c r="B724" s="404" t="s">
        <v>804</v>
      </c>
      <c r="C724" s="405" t="str">
        <f>CONCATENATE("0x", DEC2HEX(0+HEX2DEC('inicio zonas'!$C$22)))</f>
        <v>0x230</v>
      </c>
      <c r="D724" s="406"/>
      <c r="E724" s="170"/>
      <c r="F724" s="408"/>
      <c r="G724" s="507"/>
      <c r="H724" s="412"/>
      <c r="I724" s="589"/>
      <c r="J724" s="211"/>
      <c r="K724" s="211"/>
      <c r="L724" s="315"/>
    </row>
    <row r="725" spans="1:16" x14ac:dyDescent="0.45">
      <c r="A725" s="675"/>
      <c r="B725" s="355">
        <v>0</v>
      </c>
      <c r="C725" s="28" t="str">
        <f>CONCATENATE(".bit ", B725)</f>
        <v>.bit 0</v>
      </c>
      <c r="D725" s="119"/>
      <c r="E725" s="158" t="str">
        <f>CONCATENATE($C$724,DEC2HEX(B725))</f>
        <v>0x2300</v>
      </c>
      <c r="F725" s="409"/>
      <c r="G725" s="508"/>
      <c r="H725" s="414"/>
      <c r="I725" s="565"/>
      <c r="J725" s="310"/>
      <c r="K725" s="310"/>
      <c r="L725" s="316"/>
    </row>
    <row r="726" spans="1:16" x14ac:dyDescent="0.45">
      <c r="A726" s="675"/>
      <c r="B726" s="355">
        <f>B725+1</f>
        <v>1</v>
      </c>
      <c r="C726" s="28" t="str">
        <f t="shared" ref="C726:C740" si="86">CONCATENATE(".bit ", B726)</f>
        <v>.bit 1</v>
      </c>
      <c r="D726" s="119"/>
      <c r="E726" s="158" t="str">
        <f t="shared" ref="E726:E740" si="87">CONCATENATE($C$724,DEC2HEX(B726))</f>
        <v>0x2301</v>
      </c>
      <c r="F726" s="409"/>
      <c r="G726" s="508"/>
      <c r="H726" s="414"/>
      <c r="I726" s="565"/>
      <c r="J726" s="310"/>
      <c r="K726" s="310"/>
      <c r="L726" s="316"/>
    </row>
    <row r="727" spans="1:16" x14ac:dyDescent="0.45">
      <c r="A727" s="675"/>
      <c r="B727" s="355">
        <f t="shared" ref="B727:B740" si="88">B726+1</f>
        <v>2</v>
      </c>
      <c r="C727" s="28" t="str">
        <f t="shared" si="86"/>
        <v>.bit 2</v>
      </c>
      <c r="D727" s="119"/>
      <c r="E727" s="158" t="str">
        <f t="shared" si="87"/>
        <v>0x2302</v>
      </c>
      <c r="F727" s="409"/>
      <c r="G727" s="508"/>
      <c r="H727" s="414"/>
      <c r="I727" s="565"/>
      <c r="J727" s="289"/>
      <c r="K727" s="289"/>
      <c r="L727" s="316"/>
    </row>
    <row r="728" spans="1:16" x14ac:dyDescent="0.45">
      <c r="A728" s="675"/>
      <c r="B728" s="355">
        <f t="shared" si="88"/>
        <v>3</v>
      </c>
      <c r="C728" s="28" t="str">
        <f t="shared" si="86"/>
        <v>.bit 3</v>
      </c>
      <c r="D728" s="119"/>
      <c r="E728" s="158" t="str">
        <f t="shared" si="87"/>
        <v>0x2303</v>
      </c>
      <c r="F728" s="409"/>
      <c r="G728" s="508"/>
      <c r="H728" s="414"/>
      <c r="I728" s="565"/>
      <c r="J728" s="289"/>
      <c r="K728" s="289"/>
      <c r="L728" s="316"/>
    </row>
    <row r="729" spans="1:16" x14ac:dyDescent="0.45">
      <c r="A729" s="675"/>
      <c r="B729" s="355">
        <f t="shared" si="88"/>
        <v>4</v>
      </c>
      <c r="C729" s="28" t="str">
        <f t="shared" si="86"/>
        <v>.bit 4</v>
      </c>
      <c r="D729" s="119"/>
      <c r="E729" s="158" t="str">
        <f t="shared" si="87"/>
        <v>0x2304</v>
      </c>
      <c r="F729" s="409"/>
      <c r="G729" s="508"/>
      <c r="H729" s="414"/>
      <c r="I729" s="565"/>
      <c r="J729" s="289"/>
      <c r="K729" s="289"/>
      <c r="L729" s="316"/>
    </row>
    <row r="730" spans="1:16" x14ac:dyDescent="0.45">
      <c r="A730" s="675"/>
      <c r="B730" s="355">
        <f t="shared" si="88"/>
        <v>5</v>
      </c>
      <c r="C730" s="28" t="str">
        <f t="shared" si="86"/>
        <v>.bit 5</v>
      </c>
      <c r="D730" s="119"/>
      <c r="E730" s="158" t="str">
        <f t="shared" si="87"/>
        <v>0x2305</v>
      </c>
      <c r="F730" s="409"/>
      <c r="G730" s="470"/>
      <c r="H730" s="415"/>
      <c r="I730" s="585"/>
      <c r="J730" s="260"/>
      <c r="K730" s="260"/>
      <c r="L730" s="308"/>
    </row>
    <row r="731" spans="1:16" x14ac:dyDescent="0.45">
      <c r="A731" s="675"/>
      <c r="B731" s="355">
        <f t="shared" si="88"/>
        <v>6</v>
      </c>
      <c r="C731" s="28" t="str">
        <f t="shared" si="86"/>
        <v>.bit 6</v>
      </c>
      <c r="D731" s="119"/>
      <c r="E731" s="158" t="str">
        <f t="shared" si="87"/>
        <v>0x2306</v>
      </c>
      <c r="F731" s="409"/>
      <c r="G731" s="508"/>
      <c r="H731" s="414"/>
      <c r="I731" s="565"/>
      <c r="J731" s="289"/>
      <c r="K731" s="289"/>
      <c r="L731" s="316"/>
    </row>
    <row r="732" spans="1:16" x14ac:dyDescent="0.45">
      <c r="A732" s="675"/>
      <c r="B732" s="355">
        <f t="shared" si="88"/>
        <v>7</v>
      </c>
      <c r="C732" s="28" t="str">
        <f t="shared" si="86"/>
        <v>.bit 7</v>
      </c>
      <c r="D732" s="119"/>
      <c r="E732" s="158" t="str">
        <f t="shared" si="87"/>
        <v>0x2307</v>
      </c>
      <c r="F732" s="409"/>
      <c r="G732" s="508"/>
      <c r="H732" s="414"/>
      <c r="I732" s="565"/>
      <c r="J732" s="289"/>
      <c r="K732" s="289"/>
      <c r="L732" s="316"/>
    </row>
    <row r="733" spans="1:16" x14ac:dyDescent="0.45">
      <c r="A733" s="675"/>
      <c r="B733" s="355">
        <f t="shared" si="88"/>
        <v>8</v>
      </c>
      <c r="C733" s="28" t="str">
        <f t="shared" si="86"/>
        <v>.bit 8</v>
      </c>
      <c r="D733" s="119"/>
      <c r="E733" s="158" t="str">
        <f t="shared" si="87"/>
        <v>0x2308</v>
      </c>
      <c r="F733" s="409"/>
      <c r="G733" s="508"/>
      <c r="H733" s="414"/>
      <c r="I733" s="565"/>
      <c r="J733" s="289"/>
      <c r="K733" s="289"/>
      <c r="L733" s="316"/>
    </row>
    <row r="734" spans="1:16" x14ac:dyDescent="0.45">
      <c r="A734" s="675"/>
      <c r="B734" s="355">
        <f t="shared" si="88"/>
        <v>9</v>
      </c>
      <c r="C734" s="28" t="str">
        <f t="shared" si="86"/>
        <v>.bit 9</v>
      </c>
      <c r="D734" s="119"/>
      <c r="E734" s="158" t="str">
        <f t="shared" si="87"/>
        <v>0x2309</v>
      </c>
      <c r="F734" s="409"/>
      <c r="G734" s="470"/>
      <c r="H734" s="415"/>
      <c r="I734" s="585"/>
      <c r="J734" s="260"/>
      <c r="K734" s="260"/>
      <c r="L734" s="308"/>
      <c r="N734" s="91" t="s">
        <v>827</v>
      </c>
      <c r="O734" s="91" t="s">
        <v>826</v>
      </c>
    </row>
    <row r="735" spans="1:16" x14ac:dyDescent="0.45">
      <c r="A735" s="675"/>
      <c r="B735" s="355">
        <f t="shared" si="88"/>
        <v>10</v>
      </c>
      <c r="C735" s="28" t="str">
        <f t="shared" si="86"/>
        <v>.bit 10</v>
      </c>
      <c r="D735" s="119"/>
      <c r="E735" s="158" t="str">
        <f t="shared" si="87"/>
        <v>0x230A</v>
      </c>
      <c r="F735" s="409"/>
      <c r="G735" s="470"/>
      <c r="H735" s="415"/>
      <c r="I735" s="585"/>
      <c r="J735" s="260"/>
      <c r="K735" s="260"/>
      <c r="L735" s="308"/>
      <c r="N735" s="87" t="s">
        <v>818</v>
      </c>
      <c r="O735" s="87">
        <v>0</v>
      </c>
    </row>
    <row r="736" spans="1:16" x14ac:dyDescent="0.45">
      <c r="A736" s="675"/>
      <c r="B736" s="355">
        <f t="shared" si="88"/>
        <v>11</v>
      </c>
      <c r="C736" s="28" t="str">
        <f t="shared" si="86"/>
        <v>.bit 11</v>
      </c>
      <c r="D736" s="119"/>
      <c r="E736" s="158" t="str">
        <f t="shared" si="87"/>
        <v>0x230B</v>
      </c>
      <c r="F736" s="409"/>
      <c r="G736" s="495"/>
      <c r="H736" s="289"/>
      <c r="I736" s="565"/>
      <c r="J736" s="318"/>
      <c r="K736" s="318"/>
      <c r="L736" s="308"/>
      <c r="N736" s="87" t="s">
        <v>819</v>
      </c>
      <c r="O736" s="87">
        <v>1</v>
      </c>
    </row>
    <row r="737" spans="1:15" x14ac:dyDescent="0.45">
      <c r="A737" s="675"/>
      <c r="B737" s="355">
        <f t="shared" si="88"/>
        <v>12</v>
      </c>
      <c r="C737" s="28" t="str">
        <f t="shared" si="86"/>
        <v>.bit 12</v>
      </c>
      <c r="D737" s="119" t="s">
        <v>807</v>
      </c>
      <c r="E737" s="158" t="str">
        <f t="shared" si="87"/>
        <v>0x230C</v>
      </c>
      <c r="F737" s="409" t="s">
        <v>811</v>
      </c>
      <c r="G737" s="495" t="s">
        <v>923</v>
      </c>
      <c r="H737" s="289" t="s">
        <v>923</v>
      </c>
      <c r="I737" s="565" t="s">
        <v>655</v>
      </c>
      <c r="J737" s="318" t="s">
        <v>921</v>
      </c>
      <c r="K737" s="318" t="s">
        <v>605</v>
      </c>
      <c r="L737" s="316">
        <v>0</v>
      </c>
      <c r="N737" s="87" t="s">
        <v>820</v>
      </c>
      <c r="O737" s="87">
        <v>2</v>
      </c>
    </row>
    <row r="738" spans="1:15" x14ac:dyDescent="0.45">
      <c r="A738" s="675"/>
      <c r="B738" s="355">
        <f t="shared" si="88"/>
        <v>13</v>
      </c>
      <c r="C738" s="28" t="str">
        <f t="shared" si="86"/>
        <v>.bit 13</v>
      </c>
      <c r="D738" s="119" t="s">
        <v>808</v>
      </c>
      <c r="E738" s="158" t="str">
        <f t="shared" si="87"/>
        <v>0x230D</v>
      </c>
      <c r="F738" s="409" t="s">
        <v>812</v>
      </c>
      <c r="G738" s="495" t="s">
        <v>923</v>
      </c>
      <c r="H738" s="289" t="s">
        <v>923</v>
      </c>
      <c r="I738" s="565" t="s">
        <v>655</v>
      </c>
      <c r="J738" s="318" t="s">
        <v>921</v>
      </c>
      <c r="K738" s="318" t="s">
        <v>605</v>
      </c>
      <c r="L738" s="316">
        <v>0</v>
      </c>
      <c r="N738" s="87" t="s">
        <v>821</v>
      </c>
      <c r="O738" s="87">
        <v>3</v>
      </c>
    </row>
    <row r="739" spans="1:15" x14ac:dyDescent="0.45">
      <c r="A739" s="675"/>
      <c r="B739" s="355">
        <f t="shared" si="88"/>
        <v>14</v>
      </c>
      <c r="C739" s="28" t="str">
        <f t="shared" si="86"/>
        <v>.bit 14</v>
      </c>
      <c r="D739" s="119" t="s">
        <v>809</v>
      </c>
      <c r="E739" s="158" t="str">
        <f t="shared" si="87"/>
        <v>0x230E</v>
      </c>
      <c r="F739" s="409" t="s">
        <v>813</v>
      </c>
      <c r="G739" s="495" t="s">
        <v>923</v>
      </c>
      <c r="H739" s="289" t="s">
        <v>923</v>
      </c>
      <c r="I739" s="565" t="s">
        <v>655</v>
      </c>
      <c r="J739" s="318" t="s">
        <v>921</v>
      </c>
      <c r="K739" s="318" t="s">
        <v>605</v>
      </c>
      <c r="L739" s="316">
        <v>0</v>
      </c>
      <c r="N739" s="87" t="s">
        <v>822</v>
      </c>
      <c r="O739" s="87">
        <v>4</v>
      </c>
    </row>
    <row r="740" spans="1:15" x14ac:dyDescent="0.45">
      <c r="A740" s="675"/>
      <c r="B740" s="45">
        <f t="shared" si="88"/>
        <v>15</v>
      </c>
      <c r="C740" s="46" t="str">
        <f t="shared" si="86"/>
        <v>.bit 15</v>
      </c>
      <c r="D740" s="131" t="s">
        <v>810</v>
      </c>
      <c r="E740" s="159" t="str">
        <f t="shared" si="87"/>
        <v>0x230F</v>
      </c>
      <c r="F740" s="376" t="s">
        <v>814</v>
      </c>
      <c r="G740" s="495" t="s">
        <v>923</v>
      </c>
      <c r="H740" s="289" t="s">
        <v>923</v>
      </c>
      <c r="I740" s="565" t="s">
        <v>655</v>
      </c>
      <c r="J740" s="324" t="s">
        <v>921</v>
      </c>
      <c r="K740" s="318" t="s">
        <v>605</v>
      </c>
      <c r="L740" s="316">
        <v>0</v>
      </c>
      <c r="N740" s="87" t="s">
        <v>823</v>
      </c>
      <c r="O740" s="87">
        <v>5</v>
      </c>
    </row>
    <row r="741" spans="1:15" x14ac:dyDescent="0.45">
      <c r="A741" s="675"/>
      <c r="B741" s="137" t="s">
        <v>805</v>
      </c>
      <c r="C741" s="129" t="str">
        <f>CONCATENATE("0x", DEC2HEX(1+HEX2DEC('inicio zonas'!$C$22)))</f>
        <v>0x231</v>
      </c>
      <c r="D741" s="138"/>
      <c r="E741" s="168"/>
      <c r="F741" s="407" t="s">
        <v>815</v>
      </c>
      <c r="G741" s="493" t="s">
        <v>923</v>
      </c>
      <c r="H741" s="203" t="s">
        <v>923</v>
      </c>
      <c r="I741" s="575" t="s">
        <v>655</v>
      </c>
      <c r="J741" s="205" t="s">
        <v>922</v>
      </c>
      <c r="K741" s="205" t="s">
        <v>919</v>
      </c>
      <c r="L741" s="325">
        <v>650</v>
      </c>
      <c r="N741" s="87" t="s">
        <v>824</v>
      </c>
      <c r="O741" s="87">
        <v>6</v>
      </c>
    </row>
    <row r="742" spans="1:15" x14ac:dyDescent="0.45">
      <c r="A742" s="676"/>
      <c r="B742" s="137" t="s">
        <v>806</v>
      </c>
      <c r="C742" s="129" t="str">
        <f>CONCATENATE("0x", DEC2HEX(2+HEX2DEC('inicio zonas'!$C$22)))</f>
        <v>0x232</v>
      </c>
      <c r="D742" s="138"/>
      <c r="E742" s="168"/>
      <c r="F742" s="407" t="s">
        <v>816</v>
      </c>
      <c r="G742" s="493" t="s">
        <v>923</v>
      </c>
      <c r="H742" s="203" t="s">
        <v>923</v>
      </c>
      <c r="I742" s="575" t="s">
        <v>655</v>
      </c>
      <c r="J742" s="205" t="s">
        <v>922</v>
      </c>
      <c r="K742" s="205" t="s">
        <v>919</v>
      </c>
      <c r="L742" s="325">
        <v>850</v>
      </c>
      <c r="N742" s="87" t="s">
        <v>825</v>
      </c>
      <c r="O742" s="87">
        <v>7</v>
      </c>
    </row>
    <row r="743" spans="1:15" x14ac:dyDescent="0.45">
      <c r="H743" s="276"/>
      <c r="I743" s="123"/>
    </row>
    <row r="744" spans="1:15" x14ac:dyDescent="0.45">
      <c r="H744" s="276"/>
      <c r="I744" s="123"/>
    </row>
    <row r="745" spans="1:15" ht="15" customHeight="1" x14ac:dyDescent="0.45">
      <c r="A745" s="674" t="s">
        <v>840</v>
      </c>
      <c r="B745" s="404" t="s">
        <v>843</v>
      </c>
      <c r="C745" s="405" t="str">
        <f>CONCATENATE("0x", DEC2HEX(0+HEX2DEC('inicio zonas'!$C$23)))</f>
        <v>0x240</v>
      </c>
      <c r="D745" s="406"/>
      <c r="E745" s="170"/>
      <c r="F745" s="408"/>
      <c r="G745" s="466"/>
      <c r="H745" s="412"/>
      <c r="I745" s="589"/>
      <c r="J745" s="413"/>
      <c r="K745" s="413"/>
      <c r="L745" s="315"/>
    </row>
    <row r="746" spans="1:15" x14ac:dyDescent="0.45">
      <c r="A746" s="675"/>
      <c r="B746" s="355">
        <v>0</v>
      </c>
      <c r="C746" s="28" t="str">
        <f>CONCATENATE(".bit ", B746)</f>
        <v>.bit 0</v>
      </c>
      <c r="D746" s="119" t="s">
        <v>844</v>
      </c>
      <c r="E746" s="158" t="str">
        <f t="shared" ref="E746:E755" si="89">CONCATENATE($C$745,DEC2HEX(B746))</f>
        <v>0x2400</v>
      </c>
      <c r="F746" s="409"/>
      <c r="G746" s="286" t="s">
        <v>923</v>
      </c>
      <c r="H746" s="289" t="s">
        <v>923</v>
      </c>
      <c r="I746" s="565" t="s">
        <v>655</v>
      </c>
      <c r="J746" s="318" t="s">
        <v>922</v>
      </c>
      <c r="K746" s="318" t="s">
        <v>605</v>
      </c>
      <c r="L746" s="316">
        <v>0</v>
      </c>
    </row>
    <row r="747" spans="1:15" x14ac:dyDescent="0.45">
      <c r="A747" s="675"/>
      <c r="B747" s="355">
        <f>B746+1</f>
        <v>1</v>
      </c>
      <c r="C747" s="28" t="str">
        <f t="shared" ref="C747:C761" si="90">CONCATENATE(".bit ", B747)</f>
        <v>.bit 1</v>
      </c>
      <c r="D747" s="119"/>
      <c r="E747" s="158" t="str">
        <f t="shared" si="89"/>
        <v>0x2401</v>
      </c>
      <c r="F747" s="409"/>
      <c r="G747" s="286"/>
      <c r="H747" s="289"/>
      <c r="I747" s="565"/>
      <c r="J747" s="318"/>
      <c r="K747" s="318"/>
      <c r="L747" s="316"/>
    </row>
    <row r="748" spans="1:15" x14ac:dyDescent="0.45">
      <c r="A748" s="675"/>
      <c r="B748" s="355">
        <f t="shared" ref="B748:B761" si="91">B747+1</f>
        <v>2</v>
      </c>
      <c r="C748" s="28" t="str">
        <f t="shared" si="90"/>
        <v>.bit 2</v>
      </c>
      <c r="D748" s="119"/>
      <c r="E748" s="158" t="str">
        <f t="shared" si="89"/>
        <v>0x2402</v>
      </c>
      <c r="F748" s="409"/>
      <c r="G748" s="280"/>
      <c r="H748" s="414"/>
      <c r="I748" s="565"/>
      <c r="J748" s="289"/>
      <c r="K748" s="289"/>
      <c r="L748" s="316"/>
    </row>
    <row r="749" spans="1:15" x14ac:dyDescent="0.45">
      <c r="A749" s="675"/>
      <c r="B749" s="355">
        <f t="shared" si="91"/>
        <v>3</v>
      </c>
      <c r="C749" s="28" t="str">
        <f t="shared" si="90"/>
        <v>.bit 3</v>
      </c>
      <c r="D749" s="119"/>
      <c r="E749" s="158" t="str">
        <f t="shared" si="89"/>
        <v>0x2403</v>
      </c>
      <c r="F749" s="409"/>
      <c r="G749" s="280"/>
      <c r="H749" s="414"/>
      <c r="I749" s="565"/>
      <c r="J749" s="289"/>
      <c r="K749" s="289"/>
      <c r="L749" s="316"/>
    </row>
    <row r="750" spans="1:15" x14ac:dyDescent="0.45">
      <c r="A750" s="675"/>
      <c r="B750" s="355">
        <f t="shared" si="91"/>
        <v>4</v>
      </c>
      <c r="C750" s="28" t="str">
        <f t="shared" si="90"/>
        <v>.bit 4</v>
      </c>
      <c r="D750" s="119"/>
      <c r="E750" s="158" t="str">
        <f t="shared" si="89"/>
        <v>0x2404</v>
      </c>
      <c r="F750" s="409"/>
      <c r="G750" s="280"/>
      <c r="H750" s="414"/>
      <c r="I750" s="565"/>
      <c r="J750" s="289"/>
      <c r="K750" s="289"/>
      <c r="L750" s="316"/>
    </row>
    <row r="751" spans="1:15" x14ac:dyDescent="0.45">
      <c r="A751" s="675"/>
      <c r="B751" s="355">
        <f t="shared" si="91"/>
        <v>5</v>
      </c>
      <c r="C751" s="28" t="str">
        <f t="shared" si="90"/>
        <v>.bit 5</v>
      </c>
      <c r="D751" s="119"/>
      <c r="E751" s="158" t="str">
        <f t="shared" si="89"/>
        <v>0x2405</v>
      </c>
      <c r="F751" s="409"/>
      <c r="G751" s="281"/>
      <c r="H751" s="415"/>
      <c r="I751" s="585"/>
      <c r="J751" s="260"/>
      <c r="K751" s="260"/>
      <c r="L751" s="308"/>
    </row>
    <row r="752" spans="1:15" x14ac:dyDescent="0.45">
      <c r="A752" s="675"/>
      <c r="B752" s="355">
        <f t="shared" si="91"/>
        <v>6</v>
      </c>
      <c r="C752" s="28" t="str">
        <f t="shared" si="90"/>
        <v>.bit 6</v>
      </c>
      <c r="D752" s="119"/>
      <c r="E752" s="158" t="str">
        <f t="shared" si="89"/>
        <v>0x2406</v>
      </c>
      <c r="F752" s="409"/>
      <c r="G752" s="280"/>
      <c r="H752" s="414"/>
      <c r="I752" s="565"/>
      <c r="J752" s="289"/>
      <c r="K752" s="289"/>
      <c r="L752" s="316"/>
    </row>
    <row r="753" spans="1:12" x14ac:dyDescent="0.45">
      <c r="A753" s="675"/>
      <c r="B753" s="355">
        <f t="shared" si="91"/>
        <v>7</v>
      </c>
      <c r="C753" s="28" t="str">
        <f t="shared" si="90"/>
        <v>.bit 7</v>
      </c>
      <c r="D753" s="119"/>
      <c r="E753" s="158" t="str">
        <f t="shared" si="89"/>
        <v>0x2407</v>
      </c>
      <c r="F753" s="409"/>
      <c r="G753" s="280"/>
      <c r="H753" s="414"/>
      <c r="I753" s="565"/>
      <c r="J753" s="289"/>
      <c r="K753" s="289"/>
      <c r="L753" s="316"/>
    </row>
    <row r="754" spans="1:12" x14ac:dyDescent="0.45">
      <c r="A754" s="675"/>
      <c r="B754" s="355">
        <f t="shared" si="91"/>
        <v>8</v>
      </c>
      <c r="C754" s="28" t="str">
        <f t="shared" si="90"/>
        <v>.bit 8</v>
      </c>
      <c r="D754" s="663" t="s">
        <v>845</v>
      </c>
      <c r="E754" s="158" t="str">
        <f t="shared" si="89"/>
        <v>0x2408</v>
      </c>
      <c r="F754" s="663"/>
      <c r="G754" s="672" t="s">
        <v>923</v>
      </c>
      <c r="H754" s="709" t="s">
        <v>923</v>
      </c>
      <c r="I754" s="709" t="s">
        <v>655</v>
      </c>
      <c r="J754" s="707" t="s">
        <v>922</v>
      </c>
      <c r="K754" s="707" t="s">
        <v>605</v>
      </c>
      <c r="L754" s="670">
        <v>0</v>
      </c>
    </row>
    <row r="755" spans="1:12" x14ac:dyDescent="0.45">
      <c r="A755" s="675"/>
      <c r="B755" s="355">
        <f t="shared" si="91"/>
        <v>9</v>
      </c>
      <c r="C755" s="28" t="str">
        <f t="shared" si="90"/>
        <v>.bit 9</v>
      </c>
      <c r="D755" s="663"/>
      <c r="E755" s="158" t="str">
        <f t="shared" si="89"/>
        <v>0x2409</v>
      </c>
      <c r="F755" s="663"/>
      <c r="G755" s="672"/>
      <c r="H755" s="709"/>
      <c r="I755" s="709"/>
      <c r="J755" s="707"/>
      <c r="K755" s="707"/>
      <c r="L755" s="670"/>
    </row>
    <row r="756" spans="1:12" x14ac:dyDescent="0.45">
      <c r="A756" s="675"/>
      <c r="B756" s="355">
        <f t="shared" si="91"/>
        <v>10</v>
      </c>
      <c r="C756" s="28" t="str">
        <f t="shared" si="90"/>
        <v>.bit 10</v>
      </c>
      <c r="D756" s="663"/>
      <c r="E756" s="158" t="str">
        <f t="shared" ref="E756:E761" si="92">CONCATENATE($C$724,DEC2HEX(B756))</f>
        <v>0x230A</v>
      </c>
      <c r="F756" s="663"/>
      <c r="G756" s="672"/>
      <c r="H756" s="709"/>
      <c r="I756" s="709"/>
      <c r="J756" s="707"/>
      <c r="K756" s="707"/>
      <c r="L756" s="670"/>
    </row>
    <row r="757" spans="1:12" x14ac:dyDescent="0.45">
      <c r="A757" s="675"/>
      <c r="B757" s="355">
        <f t="shared" si="91"/>
        <v>11</v>
      </c>
      <c r="C757" s="28" t="str">
        <f t="shared" si="90"/>
        <v>.bit 11</v>
      </c>
      <c r="D757" s="663"/>
      <c r="E757" s="158" t="str">
        <f t="shared" si="92"/>
        <v>0x230B</v>
      </c>
      <c r="F757" s="663"/>
      <c r="G757" s="672"/>
      <c r="H757" s="709"/>
      <c r="I757" s="709"/>
      <c r="J757" s="707"/>
      <c r="K757" s="707"/>
      <c r="L757" s="670"/>
    </row>
    <row r="758" spans="1:12" x14ac:dyDescent="0.45">
      <c r="A758" s="675"/>
      <c r="B758" s="355">
        <f t="shared" si="91"/>
        <v>12</v>
      </c>
      <c r="C758" s="28" t="str">
        <f t="shared" si="90"/>
        <v>.bit 12</v>
      </c>
      <c r="D758" s="663"/>
      <c r="E758" s="158" t="str">
        <f t="shared" si="92"/>
        <v>0x230C</v>
      </c>
      <c r="F758" s="663"/>
      <c r="G758" s="672"/>
      <c r="H758" s="709"/>
      <c r="I758" s="709"/>
      <c r="J758" s="707"/>
      <c r="K758" s="707"/>
      <c r="L758" s="670"/>
    </row>
    <row r="759" spans="1:12" x14ac:dyDescent="0.45">
      <c r="A759" s="675"/>
      <c r="B759" s="355">
        <f t="shared" si="91"/>
        <v>13</v>
      </c>
      <c r="C759" s="28" t="str">
        <f t="shared" si="90"/>
        <v>.bit 13</v>
      </c>
      <c r="D759" s="663"/>
      <c r="E759" s="158" t="str">
        <f t="shared" si="92"/>
        <v>0x230D</v>
      </c>
      <c r="F759" s="663"/>
      <c r="G759" s="672"/>
      <c r="H759" s="709"/>
      <c r="I759" s="709"/>
      <c r="J759" s="707"/>
      <c r="K759" s="707"/>
      <c r="L759" s="670"/>
    </row>
    <row r="760" spans="1:12" x14ac:dyDescent="0.45">
      <c r="A760" s="675"/>
      <c r="B760" s="355">
        <f t="shared" si="91"/>
        <v>14</v>
      </c>
      <c r="C760" s="28" t="str">
        <f t="shared" si="90"/>
        <v>.bit 14</v>
      </c>
      <c r="D760" s="663"/>
      <c r="E760" s="158" t="str">
        <f t="shared" si="92"/>
        <v>0x230E</v>
      </c>
      <c r="F760" s="663"/>
      <c r="G760" s="672"/>
      <c r="H760" s="709"/>
      <c r="I760" s="709"/>
      <c r="J760" s="707"/>
      <c r="K760" s="707"/>
      <c r="L760" s="670"/>
    </row>
    <row r="761" spans="1:12" x14ac:dyDescent="0.45">
      <c r="A761" s="675"/>
      <c r="B761" s="45">
        <f t="shared" si="91"/>
        <v>15</v>
      </c>
      <c r="C761" s="46" t="str">
        <f t="shared" si="90"/>
        <v>.bit 15</v>
      </c>
      <c r="D761" s="664"/>
      <c r="E761" s="159" t="str">
        <f t="shared" si="92"/>
        <v>0x230F</v>
      </c>
      <c r="F761" s="664"/>
      <c r="G761" s="673"/>
      <c r="H761" s="710"/>
      <c r="I761" s="710"/>
      <c r="J761" s="708"/>
      <c r="K761" s="708"/>
      <c r="L761" s="671"/>
    </row>
    <row r="762" spans="1:12" x14ac:dyDescent="0.45">
      <c r="A762" s="675"/>
      <c r="B762" s="166" t="s">
        <v>867</v>
      </c>
      <c r="C762" s="422" t="str">
        <f>CONCATENATE("0x", DEC2HEX(1+HEX2DEC('inicio zonas'!$C$23)))</f>
        <v>0x241</v>
      </c>
      <c r="D762" s="138"/>
      <c r="E762" s="168"/>
      <c r="F762" s="423"/>
      <c r="G762" s="493" t="s">
        <v>868</v>
      </c>
      <c r="H762" s="203" t="s">
        <v>868</v>
      </c>
      <c r="I762" s="575"/>
      <c r="J762" s="424" t="s">
        <v>922</v>
      </c>
      <c r="K762" s="424" t="s">
        <v>605</v>
      </c>
      <c r="L762" s="299">
        <v>0</v>
      </c>
    </row>
    <row r="763" spans="1:12" x14ac:dyDescent="0.45">
      <c r="A763" s="675"/>
      <c r="B763" s="144"/>
      <c r="C763" s="143"/>
      <c r="D763" s="138"/>
      <c r="E763" s="138"/>
      <c r="F763" s="418"/>
      <c r="G763" s="144"/>
      <c r="H763" s="418"/>
      <c r="I763" s="599"/>
      <c r="J763" s="208"/>
      <c r="K763" s="208"/>
      <c r="L763" s="208"/>
    </row>
    <row r="764" spans="1:12" x14ac:dyDescent="0.45">
      <c r="A764" s="675"/>
      <c r="B764" s="144"/>
      <c r="C764" s="143"/>
      <c r="D764" s="138"/>
      <c r="E764" s="138"/>
      <c r="F764" s="418"/>
      <c r="G764" s="144"/>
      <c r="H764" s="418"/>
      <c r="I764" s="599"/>
      <c r="J764" s="208"/>
      <c r="K764" s="208"/>
      <c r="L764" s="208"/>
    </row>
    <row r="765" spans="1:12" x14ac:dyDescent="0.45">
      <c r="A765" s="675"/>
      <c r="B765" s="144"/>
      <c r="C765" s="143"/>
      <c r="D765" s="138"/>
      <c r="E765" s="138"/>
      <c r="F765" s="418"/>
      <c r="G765" s="144"/>
      <c r="H765" s="418"/>
      <c r="I765" s="599"/>
      <c r="J765" s="208"/>
      <c r="K765" s="208"/>
      <c r="L765" s="208"/>
    </row>
    <row r="766" spans="1:12" x14ac:dyDescent="0.45">
      <c r="A766" s="675"/>
      <c r="B766" s="43" t="s">
        <v>846</v>
      </c>
      <c r="C766" s="405" t="str">
        <f>CONCATENATE("0x", DEC2HEX(5+HEX2DEC('inicio zonas'!$C$23)))</f>
        <v>0x245</v>
      </c>
      <c r="D766" s="105"/>
      <c r="E766" s="169"/>
      <c r="F766" s="126"/>
      <c r="G766" s="501"/>
      <c r="H766" s="408"/>
      <c r="I766" s="572"/>
      <c r="J766" s="216"/>
      <c r="K766" s="216"/>
      <c r="L766" s="312"/>
    </row>
    <row r="767" spans="1:12" x14ac:dyDescent="0.45">
      <c r="A767" s="675"/>
      <c r="B767" s="148">
        <v>0</v>
      </c>
      <c r="C767" s="28" t="str">
        <f>CONCATENATE(".bit ", B767)</f>
        <v>.bit 0</v>
      </c>
      <c r="D767" s="677" t="s">
        <v>866</v>
      </c>
      <c r="E767" s="158" t="str">
        <f>CONCATENATE($C$766,DEC2HEX(B767))</f>
        <v>0x2450</v>
      </c>
      <c r="F767" s="665" t="s">
        <v>847</v>
      </c>
      <c r="G767" s="666" t="s">
        <v>923</v>
      </c>
      <c r="H767" s="669" t="s">
        <v>923</v>
      </c>
      <c r="I767" s="668" t="s">
        <v>655</v>
      </c>
      <c r="J767" s="669" t="s">
        <v>922</v>
      </c>
      <c r="K767" s="668" t="s">
        <v>605</v>
      </c>
      <c r="L767" s="667">
        <v>0</v>
      </c>
    </row>
    <row r="768" spans="1:12" x14ac:dyDescent="0.45">
      <c r="A768" s="675"/>
      <c r="B768" s="148">
        <f>B767+1</f>
        <v>1</v>
      </c>
      <c r="C768" s="28" t="str">
        <f t="shared" ref="C768:C782" si="93">CONCATENATE(".bit ", B768)</f>
        <v>.bit 1</v>
      </c>
      <c r="D768" s="677"/>
      <c r="E768" s="158" t="str">
        <f t="shared" ref="E768:E782" si="94">CONCATENATE($C$766,DEC2HEX(B768))</f>
        <v>0x2451</v>
      </c>
      <c r="F768" s="665"/>
      <c r="G768" s="666"/>
      <c r="H768" s="669"/>
      <c r="I768" s="668"/>
      <c r="J768" s="669"/>
      <c r="K768" s="668"/>
      <c r="L768" s="667"/>
    </row>
    <row r="769" spans="1:12" x14ac:dyDescent="0.45">
      <c r="A769" s="675"/>
      <c r="B769" s="148">
        <f t="shared" ref="B769:B782" si="95">B768+1</f>
        <v>2</v>
      </c>
      <c r="C769" s="28" t="str">
        <f t="shared" si="93"/>
        <v>.bit 2</v>
      </c>
      <c r="D769" s="677"/>
      <c r="E769" s="158" t="str">
        <f t="shared" si="94"/>
        <v>0x2452</v>
      </c>
      <c r="F769" s="665"/>
      <c r="G769" s="666"/>
      <c r="H769" s="669"/>
      <c r="I769" s="668"/>
      <c r="J769" s="669"/>
      <c r="K769" s="668"/>
      <c r="L769" s="667"/>
    </row>
    <row r="770" spans="1:12" x14ac:dyDescent="0.45">
      <c r="A770" s="675"/>
      <c r="B770" s="148">
        <f t="shared" si="95"/>
        <v>3</v>
      </c>
      <c r="C770" s="28" t="str">
        <f t="shared" si="93"/>
        <v>.bit 3</v>
      </c>
      <c r="D770" s="677"/>
      <c r="E770" s="158" t="str">
        <f t="shared" si="94"/>
        <v>0x2453</v>
      </c>
      <c r="F770" s="665"/>
      <c r="G770" s="666"/>
      <c r="H770" s="669"/>
      <c r="I770" s="668"/>
      <c r="J770" s="669"/>
      <c r="K770" s="668"/>
      <c r="L770" s="667"/>
    </row>
    <row r="771" spans="1:12" x14ac:dyDescent="0.45">
      <c r="A771" s="675"/>
      <c r="B771" s="148">
        <f t="shared" si="95"/>
        <v>4</v>
      </c>
      <c r="C771" s="28" t="str">
        <f t="shared" si="93"/>
        <v>.bit 4</v>
      </c>
      <c r="D771" s="677" t="s">
        <v>848</v>
      </c>
      <c r="E771" s="158" t="str">
        <f t="shared" si="94"/>
        <v>0x2454</v>
      </c>
      <c r="F771" s="665" t="s">
        <v>847</v>
      </c>
      <c r="G771" s="666" t="s">
        <v>923</v>
      </c>
      <c r="H771" s="669" t="s">
        <v>923</v>
      </c>
      <c r="I771" s="668" t="s">
        <v>655</v>
      </c>
      <c r="J771" s="669" t="s">
        <v>922</v>
      </c>
      <c r="K771" s="668" t="s">
        <v>605</v>
      </c>
      <c r="L771" s="667">
        <v>0</v>
      </c>
    </row>
    <row r="772" spans="1:12" x14ac:dyDescent="0.45">
      <c r="A772" s="675"/>
      <c r="B772" s="148">
        <f t="shared" si="95"/>
        <v>5</v>
      </c>
      <c r="C772" s="28" t="str">
        <f t="shared" si="93"/>
        <v>.bit 5</v>
      </c>
      <c r="D772" s="677"/>
      <c r="E772" s="158" t="str">
        <f t="shared" si="94"/>
        <v>0x2455</v>
      </c>
      <c r="F772" s="665"/>
      <c r="G772" s="666"/>
      <c r="H772" s="669"/>
      <c r="I772" s="668"/>
      <c r="J772" s="669"/>
      <c r="K772" s="668"/>
      <c r="L772" s="667"/>
    </row>
    <row r="773" spans="1:12" x14ac:dyDescent="0.45">
      <c r="A773" s="675"/>
      <c r="B773" s="148">
        <f t="shared" si="95"/>
        <v>6</v>
      </c>
      <c r="C773" s="28" t="str">
        <f t="shared" si="93"/>
        <v>.bit 6</v>
      </c>
      <c r="D773" s="677"/>
      <c r="E773" s="158" t="str">
        <f t="shared" si="94"/>
        <v>0x2456</v>
      </c>
      <c r="F773" s="665"/>
      <c r="G773" s="666"/>
      <c r="H773" s="669"/>
      <c r="I773" s="668"/>
      <c r="J773" s="669"/>
      <c r="K773" s="668"/>
      <c r="L773" s="667"/>
    </row>
    <row r="774" spans="1:12" x14ac:dyDescent="0.45">
      <c r="A774" s="675"/>
      <c r="B774" s="148">
        <f t="shared" si="95"/>
        <v>7</v>
      </c>
      <c r="C774" s="28" t="str">
        <f t="shared" si="93"/>
        <v>.bit 7</v>
      </c>
      <c r="D774" s="677"/>
      <c r="E774" s="158" t="str">
        <f t="shared" si="94"/>
        <v>0x2457</v>
      </c>
      <c r="F774" s="665"/>
      <c r="G774" s="666"/>
      <c r="H774" s="669"/>
      <c r="I774" s="668"/>
      <c r="J774" s="669"/>
      <c r="K774" s="668"/>
      <c r="L774" s="667"/>
    </row>
    <row r="775" spans="1:12" x14ac:dyDescent="0.45">
      <c r="A775" s="675"/>
      <c r="B775" s="148">
        <f t="shared" si="95"/>
        <v>8</v>
      </c>
      <c r="C775" s="28" t="str">
        <f t="shared" si="93"/>
        <v>.bit 8</v>
      </c>
      <c r="D775" s="677" t="s">
        <v>849</v>
      </c>
      <c r="E775" s="158" t="str">
        <f t="shared" si="94"/>
        <v>0x2458</v>
      </c>
      <c r="F775" s="665" t="s">
        <v>847</v>
      </c>
      <c r="G775" s="666" t="s">
        <v>923</v>
      </c>
      <c r="H775" s="669" t="s">
        <v>923</v>
      </c>
      <c r="I775" s="668" t="s">
        <v>655</v>
      </c>
      <c r="J775" s="669" t="s">
        <v>922</v>
      </c>
      <c r="K775" s="668" t="s">
        <v>605</v>
      </c>
      <c r="L775" s="667">
        <v>0</v>
      </c>
    </row>
    <row r="776" spans="1:12" x14ac:dyDescent="0.45">
      <c r="A776" s="675"/>
      <c r="B776" s="148">
        <f t="shared" si="95"/>
        <v>9</v>
      </c>
      <c r="C776" s="28" t="str">
        <f t="shared" si="93"/>
        <v>.bit 9</v>
      </c>
      <c r="D776" s="677"/>
      <c r="E776" s="158" t="str">
        <f t="shared" si="94"/>
        <v>0x2459</v>
      </c>
      <c r="F776" s="665"/>
      <c r="G776" s="666"/>
      <c r="H776" s="669"/>
      <c r="I776" s="668"/>
      <c r="J776" s="669"/>
      <c r="K776" s="668"/>
      <c r="L776" s="667"/>
    </row>
    <row r="777" spans="1:12" x14ac:dyDescent="0.45">
      <c r="A777" s="675"/>
      <c r="B777" s="148">
        <f t="shared" si="95"/>
        <v>10</v>
      </c>
      <c r="C777" s="28" t="str">
        <f t="shared" si="93"/>
        <v>.bit 10</v>
      </c>
      <c r="D777" s="677"/>
      <c r="E777" s="158" t="str">
        <f t="shared" si="94"/>
        <v>0x245A</v>
      </c>
      <c r="F777" s="665"/>
      <c r="G777" s="666"/>
      <c r="H777" s="669"/>
      <c r="I777" s="668"/>
      <c r="J777" s="669"/>
      <c r="K777" s="668"/>
      <c r="L777" s="667"/>
    </row>
    <row r="778" spans="1:12" x14ac:dyDescent="0.45">
      <c r="A778" s="675"/>
      <c r="B778" s="148">
        <f t="shared" si="95"/>
        <v>11</v>
      </c>
      <c r="C778" s="28" t="str">
        <f t="shared" si="93"/>
        <v>.bit 11</v>
      </c>
      <c r="D778" s="677"/>
      <c r="E778" s="158" t="str">
        <f t="shared" si="94"/>
        <v>0x245B</v>
      </c>
      <c r="F778" s="665"/>
      <c r="G778" s="666"/>
      <c r="H778" s="669"/>
      <c r="I778" s="668"/>
      <c r="J778" s="669"/>
      <c r="K778" s="668"/>
      <c r="L778" s="667"/>
    </row>
    <row r="779" spans="1:12" x14ac:dyDescent="0.45">
      <c r="A779" s="675"/>
      <c r="B779" s="148">
        <f t="shared" si="95"/>
        <v>12</v>
      </c>
      <c r="C779" s="28" t="str">
        <f t="shared" si="93"/>
        <v>.bit 12</v>
      </c>
      <c r="D779" s="677" t="s">
        <v>850</v>
      </c>
      <c r="E779" s="158" t="str">
        <f t="shared" si="94"/>
        <v>0x245C</v>
      </c>
      <c r="F779" s="665" t="s">
        <v>847</v>
      </c>
      <c r="G779" s="666" t="s">
        <v>923</v>
      </c>
      <c r="H779" s="669" t="s">
        <v>923</v>
      </c>
      <c r="I779" s="668" t="s">
        <v>655</v>
      </c>
      <c r="J779" s="669" t="s">
        <v>922</v>
      </c>
      <c r="K779" s="668" t="s">
        <v>605</v>
      </c>
      <c r="L779" s="667">
        <v>0</v>
      </c>
    </row>
    <row r="780" spans="1:12" x14ac:dyDescent="0.45">
      <c r="A780" s="675"/>
      <c r="B780" s="148">
        <f t="shared" si="95"/>
        <v>13</v>
      </c>
      <c r="C780" s="28" t="str">
        <f t="shared" si="93"/>
        <v>.bit 13</v>
      </c>
      <c r="D780" s="677"/>
      <c r="E780" s="158" t="str">
        <f t="shared" si="94"/>
        <v>0x245D</v>
      </c>
      <c r="F780" s="665"/>
      <c r="G780" s="666"/>
      <c r="H780" s="669"/>
      <c r="I780" s="668"/>
      <c r="J780" s="669"/>
      <c r="K780" s="668"/>
      <c r="L780" s="667"/>
    </row>
    <row r="781" spans="1:12" x14ac:dyDescent="0.45">
      <c r="A781" s="675"/>
      <c r="B781" s="148">
        <f t="shared" si="95"/>
        <v>14</v>
      </c>
      <c r="C781" s="28" t="str">
        <f t="shared" si="93"/>
        <v>.bit 14</v>
      </c>
      <c r="D781" s="677"/>
      <c r="E781" s="158" t="str">
        <f t="shared" si="94"/>
        <v>0x245E</v>
      </c>
      <c r="F781" s="665"/>
      <c r="G781" s="666"/>
      <c r="H781" s="669"/>
      <c r="I781" s="668"/>
      <c r="J781" s="669"/>
      <c r="K781" s="668"/>
      <c r="L781" s="667"/>
    </row>
    <row r="782" spans="1:12" x14ac:dyDescent="0.45">
      <c r="A782" s="676"/>
      <c r="B782" s="45">
        <f t="shared" si="95"/>
        <v>15</v>
      </c>
      <c r="C782" s="46" t="str">
        <f t="shared" si="93"/>
        <v>.bit 15</v>
      </c>
      <c r="D782" s="677"/>
      <c r="E782" s="158" t="str">
        <f t="shared" si="94"/>
        <v>0x245F</v>
      </c>
      <c r="F782" s="665"/>
      <c r="G782" s="666"/>
      <c r="H782" s="669"/>
      <c r="I782" s="668"/>
      <c r="J782" s="669"/>
      <c r="K782" s="668"/>
      <c r="L782" s="667"/>
    </row>
    <row r="783" spans="1:12" x14ac:dyDescent="0.45">
      <c r="H783" s="276"/>
      <c r="I783" s="123"/>
    </row>
    <row r="784" spans="1:12" x14ac:dyDescent="0.45">
      <c r="H784" s="276"/>
      <c r="I784" s="123"/>
    </row>
    <row r="785" spans="1:12" ht="15" customHeight="1" x14ac:dyDescent="0.45">
      <c r="A785" s="636" t="s">
        <v>865</v>
      </c>
      <c r="B785" s="417" t="s">
        <v>870</v>
      </c>
      <c r="C785" s="405" t="str">
        <f>CONCATENATE("0x", DEC2HEX(0+HEX2DEC('inicio zonas'!$C$24)))</f>
        <v>0x250</v>
      </c>
      <c r="D785" s="406"/>
      <c r="E785" s="170"/>
      <c r="F785" s="408"/>
      <c r="G785" s="466"/>
      <c r="H785" s="412"/>
      <c r="I785" s="589"/>
      <c r="J785" s="413"/>
      <c r="K785" s="413"/>
      <c r="L785" s="315"/>
    </row>
    <row r="786" spans="1:12" x14ac:dyDescent="0.45">
      <c r="A786" s="637"/>
      <c r="B786" s="355">
        <v>0</v>
      </c>
      <c r="C786" s="28" t="str">
        <f>CONCATENATE(".bit ", B786)</f>
        <v>.bit 0</v>
      </c>
      <c r="D786" s="119" t="s">
        <v>887</v>
      </c>
      <c r="E786" s="158" t="str">
        <f>CONCATENATE($C$785,DEC2HEX(B786))</f>
        <v>0x2500</v>
      </c>
      <c r="F786" s="409"/>
      <c r="G786" s="286" t="s">
        <v>923</v>
      </c>
      <c r="H786" s="289" t="s">
        <v>923</v>
      </c>
      <c r="I786" s="565" t="s">
        <v>655</v>
      </c>
      <c r="J786" s="318" t="s">
        <v>922</v>
      </c>
      <c r="K786" s="318" t="s">
        <v>605</v>
      </c>
      <c r="L786" s="316">
        <v>0</v>
      </c>
    </row>
    <row r="787" spans="1:12" x14ac:dyDescent="0.45">
      <c r="A787" s="637"/>
      <c r="B787" s="355">
        <f>B786+1</f>
        <v>1</v>
      </c>
      <c r="C787" s="28" t="str">
        <f t="shared" ref="C787:C801" si="96">CONCATENATE(".bit ", B787)</f>
        <v>.bit 1</v>
      </c>
      <c r="D787" s="119" t="s">
        <v>883</v>
      </c>
      <c r="E787" s="158" t="str">
        <f t="shared" ref="E787:E801" si="97">CONCATENATE($C$785,DEC2HEX(B787))</f>
        <v>0x2501</v>
      </c>
      <c r="F787" s="409"/>
      <c r="G787" s="286" t="s">
        <v>923</v>
      </c>
      <c r="H787" s="289" t="s">
        <v>923</v>
      </c>
      <c r="I787" s="565" t="s">
        <v>655</v>
      </c>
      <c r="J787" s="318" t="s">
        <v>922</v>
      </c>
      <c r="K787" s="318" t="s">
        <v>605</v>
      </c>
      <c r="L787" s="316">
        <v>0</v>
      </c>
    </row>
    <row r="788" spans="1:12" x14ac:dyDescent="0.45">
      <c r="A788" s="637"/>
      <c r="B788" s="355">
        <f t="shared" ref="B788:B801" si="98">B787+1</f>
        <v>2</v>
      </c>
      <c r="C788" s="28" t="str">
        <f t="shared" si="96"/>
        <v>.bit 2</v>
      </c>
      <c r="D788" s="119" t="s">
        <v>881</v>
      </c>
      <c r="E788" s="158" t="str">
        <f t="shared" si="97"/>
        <v>0x2502</v>
      </c>
      <c r="F788" s="409"/>
      <c r="G788" s="280"/>
      <c r="H788" s="414"/>
      <c r="I788" s="565"/>
      <c r="J788" s="289"/>
      <c r="K788" s="289"/>
      <c r="L788" s="316"/>
    </row>
    <row r="789" spans="1:12" x14ac:dyDescent="0.45">
      <c r="A789" s="637"/>
      <c r="B789" s="355">
        <f t="shared" si="98"/>
        <v>3</v>
      </c>
      <c r="C789" s="28" t="str">
        <f t="shared" si="96"/>
        <v>.bit 3</v>
      </c>
      <c r="D789" s="119" t="s">
        <v>885</v>
      </c>
      <c r="E789" s="158" t="str">
        <f t="shared" si="97"/>
        <v>0x2503</v>
      </c>
      <c r="F789" s="409"/>
      <c r="G789" s="280"/>
      <c r="H789" s="414"/>
      <c r="I789" s="565"/>
      <c r="J789" s="289"/>
      <c r="K789" s="289"/>
      <c r="L789" s="316"/>
    </row>
    <row r="790" spans="1:12" x14ac:dyDescent="0.45">
      <c r="A790" s="637"/>
      <c r="B790" s="355">
        <f t="shared" si="98"/>
        <v>4</v>
      </c>
      <c r="C790" s="28" t="str">
        <f t="shared" si="96"/>
        <v>.bit 4</v>
      </c>
      <c r="D790" s="119"/>
      <c r="E790" s="158" t="str">
        <f t="shared" si="97"/>
        <v>0x2504</v>
      </c>
      <c r="F790" s="409"/>
      <c r="G790" s="280"/>
      <c r="H790" s="414"/>
      <c r="I790" s="565"/>
      <c r="J790" s="289"/>
      <c r="K790" s="289"/>
      <c r="L790" s="316"/>
    </row>
    <row r="791" spans="1:12" x14ac:dyDescent="0.45">
      <c r="A791" s="637"/>
      <c r="B791" s="355">
        <f t="shared" si="98"/>
        <v>5</v>
      </c>
      <c r="C791" s="28" t="str">
        <f t="shared" si="96"/>
        <v>.bit 5</v>
      </c>
      <c r="D791" s="119"/>
      <c r="E791" s="158" t="str">
        <f t="shared" si="97"/>
        <v>0x2505</v>
      </c>
      <c r="F791" s="409"/>
      <c r="G791" s="281"/>
      <c r="H791" s="415"/>
      <c r="I791" s="585"/>
      <c r="J791" s="260"/>
      <c r="K791" s="260"/>
      <c r="L791" s="308"/>
    </row>
    <row r="792" spans="1:12" x14ac:dyDescent="0.45">
      <c r="A792" s="637"/>
      <c r="B792" s="355">
        <f t="shared" si="98"/>
        <v>6</v>
      </c>
      <c r="C792" s="28" t="str">
        <f t="shared" si="96"/>
        <v>.bit 6</v>
      </c>
      <c r="D792" s="119"/>
      <c r="E792" s="158" t="str">
        <f t="shared" si="97"/>
        <v>0x2506</v>
      </c>
      <c r="F792" s="409"/>
      <c r="G792" s="280"/>
      <c r="H792" s="414"/>
      <c r="I792" s="565"/>
      <c r="J792" s="289"/>
      <c r="K792" s="289"/>
      <c r="L792" s="316"/>
    </row>
    <row r="793" spans="1:12" x14ac:dyDescent="0.45">
      <c r="A793" s="637"/>
      <c r="B793" s="355">
        <f t="shared" si="98"/>
        <v>7</v>
      </c>
      <c r="C793" s="28" t="str">
        <f t="shared" si="96"/>
        <v>.bit 7</v>
      </c>
      <c r="D793" s="119"/>
      <c r="E793" s="158" t="str">
        <f t="shared" si="97"/>
        <v>0x2507</v>
      </c>
      <c r="F793" s="409"/>
      <c r="G793" s="280"/>
      <c r="H793" s="414"/>
      <c r="I793" s="565"/>
      <c r="J793" s="289"/>
      <c r="K793" s="289"/>
      <c r="L793" s="316"/>
    </row>
    <row r="794" spans="1:12" x14ac:dyDescent="0.45">
      <c r="A794" s="637"/>
      <c r="B794" s="355">
        <f t="shared" si="98"/>
        <v>8</v>
      </c>
      <c r="C794" s="28" t="str">
        <f t="shared" si="96"/>
        <v>.bit 8</v>
      </c>
      <c r="D794" s="663" t="s">
        <v>878</v>
      </c>
      <c r="E794" s="158" t="str">
        <f t="shared" si="97"/>
        <v>0x2508</v>
      </c>
      <c r="F794" s="663"/>
      <c r="G794" s="672" t="s">
        <v>923</v>
      </c>
      <c r="H794" s="709" t="s">
        <v>923</v>
      </c>
      <c r="I794" s="709" t="s">
        <v>655</v>
      </c>
      <c r="J794" s="707" t="s">
        <v>922</v>
      </c>
      <c r="K794" s="707" t="s">
        <v>605</v>
      </c>
      <c r="L794" s="670">
        <v>0</v>
      </c>
    </row>
    <row r="795" spans="1:12" x14ac:dyDescent="0.45">
      <c r="A795" s="637"/>
      <c r="B795" s="355">
        <f t="shared" si="98"/>
        <v>9</v>
      </c>
      <c r="C795" s="28" t="str">
        <f t="shared" si="96"/>
        <v>.bit 9</v>
      </c>
      <c r="D795" s="663"/>
      <c r="E795" s="158" t="str">
        <f t="shared" si="97"/>
        <v>0x2509</v>
      </c>
      <c r="F795" s="663"/>
      <c r="G795" s="672"/>
      <c r="H795" s="709"/>
      <c r="I795" s="709"/>
      <c r="J795" s="707"/>
      <c r="K795" s="707"/>
      <c r="L795" s="670"/>
    </row>
    <row r="796" spans="1:12" x14ac:dyDescent="0.45">
      <c r="A796" s="637"/>
      <c r="B796" s="355">
        <f t="shared" si="98"/>
        <v>10</v>
      </c>
      <c r="C796" s="28" t="str">
        <f t="shared" si="96"/>
        <v>.bit 10</v>
      </c>
      <c r="D796" s="663"/>
      <c r="E796" s="158" t="str">
        <f t="shared" si="97"/>
        <v>0x250A</v>
      </c>
      <c r="F796" s="663"/>
      <c r="G796" s="672"/>
      <c r="H796" s="709"/>
      <c r="I796" s="709"/>
      <c r="J796" s="707"/>
      <c r="K796" s="707"/>
      <c r="L796" s="670"/>
    </row>
    <row r="797" spans="1:12" x14ac:dyDescent="0.45">
      <c r="A797" s="637"/>
      <c r="B797" s="355">
        <f t="shared" si="98"/>
        <v>11</v>
      </c>
      <c r="C797" s="28" t="str">
        <f t="shared" si="96"/>
        <v>.bit 11</v>
      </c>
      <c r="D797" s="663"/>
      <c r="E797" s="158" t="str">
        <f t="shared" si="97"/>
        <v>0x250B</v>
      </c>
      <c r="F797" s="663"/>
      <c r="G797" s="672"/>
      <c r="H797" s="709"/>
      <c r="I797" s="709"/>
      <c r="J797" s="707"/>
      <c r="K797" s="707"/>
      <c r="L797" s="670"/>
    </row>
    <row r="798" spans="1:12" x14ac:dyDescent="0.45">
      <c r="A798" s="637"/>
      <c r="B798" s="355">
        <f t="shared" si="98"/>
        <v>12</v>
      </c>
      <c r="C798" s="28" t="str">
        <f t="shared" si="96"/>
        <v>.bit 12</v>
      </c>
      <c r="D798" s="663" t="s">
        <v>869</v>
      </c>
      <c r="E798" s="158" t="str">
        <f t="shared" si="97"/>
        <v>0x250C</v>
      </c>
      <c r="F798" s="663"/>
      <c r="G798" s="672"/>
      <c r="H798" s="709"/>
      <c r="I798" s="709"/>
      <c r="J798" s="707"/>
      <c r="K798" s="707"/>
      <c r="L798" s="670"/>
    </row>
    <row r="799" spans="1:12" x14ac:dyDescent="0.45">
      <c r="A799" s="637"/>
      <c r="B799" s="355">
        <f t="shared" si="98"/>
        <v>13</v>
      </c>
      <c r="C799" s="28" t="str">
        <f t="shared" si="96"/>
        <v>.bit 13</v>
      </c>
      <c r="D799" s="663"/>
      <c r="E799" s="158" t="str">
        <f t="shared" si="97"/>
        <v>0x250D</v>
      </c>
      <c r="F799" s="663"/>
      <c r="G799" s="672"/>
      <c r="H799" s="709"/>
      <c r="I799" s="709"/>
      <c r="J799" s="707"/>
      <c r="K799" s="707"/>
      <c r="L799" s="670"/>
    </row>
    <row r="800" spans="1:12" x14ac:dyDescent="0.45">
      <c r="A800" s="637"/>
      <c r="B800" s="355">
        <f t="shared" si="98"/>
        <v>14</v>
      </c>
      <c r="C800" s="28" t="str">
        <f t="shared" si="96"/>
        <v>.bit 14</v>
      </c>
      <c r="D800" s="663"/>
      <c r="E800" s="158" t="str">
        <f t="shared" si="97"/>
        <v>0x250E</v>
      </c>
      <c r="F800" s="663"/>
      <c r="G800" s="672"/>
      <c r="H800" s="709"/>
      <c r="I800" s="709"/>
      <c r="J800" s="707"/>
      <c r="K800" s="707"/>
      <c r="L800" s="670"/>
    </row>
    <row r="801" spans="1:12" x14ac:dyDescent="0.45">
      <c r="A801" s="637"/>
      <c r="B801" s="45">
        <f t="shared" si="98"/>
        <v>15</v>
      </c>
      <c r="C801" s="46" t="str">
        <f t="shared" si="96"/>
        <v>.bit 15</v>
      </c>
      <c r="D801" s="664"/>
      <c r="E801" s="159" t="str">
        <f t="shared" si="97"/>
        <v>0x250F</v>
      </c>
      <c r="F801" s="664"/>
      <c r="G801" s="673"/>
      <c r="H801" s="710"/>
      <c r="I801" s="710"/>
      <c r="J801" s="708"/>
      <c r="K801" s="708"/>
      <c r="L801" s="671"/>
    </row>
    <row r="802" spans="1:12" x14ac:dyDescent="0.45">
      <c r="A802" s="637"/>
      <c r="B802" s="144"/>
      <c r="C802" s="143"/>
      <c r="D802" s="138"/>
      <c r="E802" s="138"/>
      <c r="F802" s="418"/>
      <c r="G802" s="144"/>
      <c r="H802" s="418"/>
      <c r="I802" s="599"/>
      <c r="J802" s="208"/>
      <c r="K802" s="208"/>
      <c r="L802" s="208"/>
    </row>
    <row r="803" spans="1:12" x14ac:dyDescent="0.45">
      <c r="A803" s="637"/>
      <c r="B803" s="137" t="s">
        <v>871</v>
      </c>
      <c r="C803" s="129" t="str">
        <f>CONCATENATE("0x", DEC2HEX(2+HEX2DEC('inicio zonas'!$C$24)))</f>
        <v>0x252</v>
      </c>
      <c r="D803" s="138"/>
      <c r="E803" s="168"/>
      <c r="F803" s="137" t="s">
        <v>852</v>
      </c>
      <c r="G803" s="342" t="s">
        <v>923</v>
      </c>
      <c r="H803" s="407" t="s">
        <v>923</v>
      </c>
      <c r="I803" s="574" t="s">
        <v>655</v>
      </c>
      <c r="J803" s="205" t="s">
        <v>922</v>
      </c>
      <c r="K803" s="205" t="s">
        <v>919</v>
      </c>
      <c r="L803" s="334">
        <v>0</v>
      </c>
    </row>
    <row r="804" spans="1:12" x14ac:dyDescent="0.45">
      <c r="A804" s="637"/>
      <c r="B804" s="137" t="s">
        <v>872</v>
      </c>
      <c r="C804" s="129" t="str">
        <f>CONCATENATE("0x", DEC2HEX(3+HEX2DEC('inicio zonas'!$C$24)))</f>
        <v>0x253</v>
      </c>
      <c r="D804" s="138"/>
      <c r="E804" s="168"/>
      <c r="F804" s="137" t="s">
        <v>873</v>
      </c>
      <c r="G804" s="342" t="s">
        <v>923</v>
      </c>
      <c r="H804" s="407" t="s">
        <v>923</v>
      </c>
      <c r="I804" s="574" t="s">
        <v>655</v>
      </c>
      <c r="J804" s="205" t="s">
        <v>922</v>
      </c>
      <c r="K804" s="205" t="s">
        <v>919</v>
      </c>
      <c r="L804" s="334">
        <v>0</v>
      </c>
    </row>
    <row r="805" spans="1:12" x14ac:dyDescent="0.45">
      <c r="A805" s="637"/>
      <c r="B805" s="137" t="s">
        <v>874</v>
      </c>
      <c r="C805" s="129" t="str">
        <f>CONCATENATE("0x", DEC2HEX(4+HEX2DEC('inicio zonas'!$C$24)))</f>
        <v>0x254</v>
      </c>
      <c r="D805" s="138"/>
      <c r="E805" s="168"/>
      <c r="F805" s="137" t="s">
        <v>379</v>
      </c>
      <c r="G805" s="342" t="s">
        <v>923</v>
      </c>
      <c r="H805" s="407" t="s">
        <v>923</v>
      </c>
      <c r="I805" s="574" t="s">
        <v>655</v>
      </c>
      <c r="J805" s="205" t="s">
        <v>922</v>
      </c>
      <c r="K805" s="205" t="s">
        <v>919</v>
      </c>
      <c r="L805" s="334">
        <v>0</v>
      </c>
    </row>
    <row r="806" spans="1:12" x14ac:dyDescent="0.45">
      <c r="A806" s="637"/>
      <c r="B806" s="356" t="s">
        <v>862</v>
      </c>
      <c r="C806" s="21" t="str">
        <f>CONCATENATE("0x",DEC2HEX(5+HEX2DEC('inicio zonas'!$C$24)))</f>
        <v>0x255</v>
      </c>
      <c r="D806"/>
      <c r="E806" s="24"/>
      <c r="F806"/>
      <c r="G806" s="421"/>
      <c r="H806" s="273"/>
      <c r="I806" s="25"/>
      <c r="J806" s="21"/>
      <c r="K806" s="263"/>
      <c r="L806"/>
    </row>
    <row r="807" spans="1:12" x14ac:dyDescent="0.45">
      <c r="A807" s="637"/>
      <c r="B807" s="355">
        <v>0</v>
      </c>
      <c r="C807" s="28" t="s">
        <v>2</v>
      </c>
      <c r="D807" s="630" t="s">
        <v>855</v>
      </c>
      <c r="E807" s="158" t="str">
        <f>CONCATENATE($C$806,DEC2HEX(B807))</f>
        <v>0x2550</v>
      </c>
      <c r="F807" s="632"/>
      <c r="G807" s="620" t="s">
        <v>923</v>
      </c>
      <c r="H807" s="617" t="s">
        <v>923</v>
      </c>
      <c r="I807" s="617" t="s">
        <v>655</v>
      </c>
      <c r="J807" s="617" t="s">
        <v>922</v>
      </c>
      <c r="K807" s="711" t="s">
        <v>882</v>
      </c>
      <c r="L807" s="712">
        <v>0</v>
      </c>
    </row>
    <row r="808" spans="1:12" x14ac:dyDescent="0.45">
      <c r="A808" s="637"/>
      <c r="B808" s="355">
        <f>B807+1</f>
        <v>1</v>
      </c>
      <c r="C808" s="28" t="s">
        <v>4</v>
      </c>
      <c r="D808" s="630"/>
      <c r="E808" s="158" t="str">
        <f t="shared" ref="E808:E822" si="99">CONCATENATE($C$806,DEC2HEX(B808))</f>
        <v>0x2551</v>
      </c>
      <c r="F808" s="632"/>
      <c r="G808" s="621"/>
      <c r="H808" s="618"/>
      <c r="I808" s="618"/>
      <c r="J808" s="618"/>
      <c r="K808" s="618"/>
      <c r="L808" s="715"/>
    </row>
    <row r="809" spans="1:12" x14ac:dyDescent="0.45">
      <c r="A809" s="637"/>
      <c r="B809" s="355">
        <f t="shared" ref="B809:B822" si="100">B808+1</f>
        <v>2</v>
      </c>
      <c r="C809" s="28" t="s">
        <v>6</v>
      </c>
      <c r="D809" s="630"/>
      <c r="E809" s="158" t="str">
        <f t="shared" si="99"/>
        <v>0x2552</v>
      </c>
      <c r="F809" s="632"/>
      <c r="G809" s="621"/>
      <c r="H809" s="618"/>
      <c r="I809" s="618"/>
      <c r="J809" s="618"/>
      <c r="K809" s="618"/>
      <c r="L809" s="715"/>
    </row>
    <row r="810" spans="1:12" x14ac:dyDescent="0.45">
      <c r="A810" s="637"/>
      <c r="B810" s="355">
        <f t="shared" si="100"/>
        <v>3</v>
      </c>
      <c r="C810" s="28" t="s">
        <v>7</v>
      </c>
      <c r="D810" s="630"/>
      <c r="E810" s="158" t="str">
        <f t="shared" si="99"/>
        <v>0x2553</v>
      </c>
      <c r="F810" s="632"/>
      <c r="G810" s="621"/>
      <c r="H810" s="618"/>
      <c r="I810" s="618"/>
      <c r="J810" s="618"/>
      <c r="K810" s="618"/>
      <c r="L810" s="715"/>
    </row>
    <row r="811" spans="1:12" x14ac:dyDescent="0.45">
      <c r="A811" s="637"/>
      <c r="B811" s="355">
        <f t="shared" si="100"/>
        <v>4</v>
      </c>
      <c r="C811" s="28" t="s">
        <v>8</v>
      </c>
      <c r="D811" s="630"/>
      <c r="E811" s="158" t="str">
        <f t="shared" si="99"/>
        <v>0x2554</v>
      </c>
      <c r="F811" s="632"/>
      <c r="G811" s="621"/>
      <c r="H811" s="618"/>
      <c r="I811" s="618"/>
      <c r="J811" s="618"/>
      <c r="K811" s="618"/>
      <c r="L811" s="715"/>
    </row>
    <row r="812" spans="1:12" x14ac:dyDescent="0.45">
      <c r="A812" s="637"/>
      <c r="B812" s="355">
        <f t="shared" si="100"/>
        <v>5</v>
      </c>
      <c r="C812" s="28" t="s">
        <v>9</v>
      </c>
      <c r="D812" s="630"/>
      <c r="E812" s="158" t="str">
        <f t="shared" si="99"/>
        <v>0x2555</v>
      </c>
      <c r="F812" s="632"/>
      <c r="G812" s="621"/>
      <c r="H812" s="618"/>
      <c r="I812" s="618"/>
      <c r="J812" s="618"/>
      <c r="K812" s="618"/>
      <c r="L812" s="715"/>
    </row>
    <row r="813" spans="1:12" x14ac:dyDescent="0.45">
      <c r="A813" s="637"/>
      <c r="B813" s="355">
        <f t="shared" si="100"/>
        <v>6</v>
      </c>
      <c r="C813" s="28" t="s">
        <v>10</v>
      </c>
      <c r="D813" s="630"/>
      <c r="E813" s="158" t="str">
        <f t="shared" si="99"/>
        <v>0x2556</v>
      </c>
      <c r="F813" s="632"/>
      <c r="G813" s="621"/>
      <c r="H813" s="618"/>
      <c r="I813" s="618"/>
      <c r="J813" s="618"/>
      <c r="K813" s="618"/>
      <c r="L813" s="715"/>
    </row>
    <row r="814" spans="1:12" x14ac:dyDescent="0.45">
      <c r="A814" s="637"/>
      <c r="B814" s="355">
        <f t="shared" si="100"/>
        <v>7</v>
      </c>
      <c r="C814" s="28" t="s">
        <v>12</v>
      </c>
      <c r="D814" s="630"/>
      <c r="E814" s="158" t="str">
        <f t="shared" si="99"/>
        <v>0x2557</v>
      </c>
      <c r="F814" s="632"/>
      <c r="G814" s="622"/>
      <c r="H814" s="619"/>
      <c r="I814" s="619"/>
      <c r="J814" s="619"/>
      <c r="K814" s="619"/>
      <c r="L814" s="716"/>
    </row>
    <row r="815" spans="1:12" x14ac:dyDescent="0.45">
      <c r="A815" s="637"/>
      <c r="B815" s="355">
        <f t="shared" si="100"/>
        <v>8</v>
      </c>
      <c r="C815" s="28" t="s">
        <v>13</v>
      </c>
      <c r="D815" s="630" t="s">
        <v>856</v>
      </c>
      <c r="E815" s="158" t="str">
        <f t="shared" si="99"/>
        <v>0x2558</v>
      </c>
      <c r="F815" s="632"/>
      <c r="G815" s="621" t="s">
        <v>923</v>
      </c>
      <c r="H815" s="618" t="s">
        <v>923</v>
      </c>
      <c r="I815" s="618" t="s">
        <v>655</v>
      </c>
      <c r="J815" s="618" t="s">
        <v>922</v>
      </c>
      <c r="K815" s="711" t="s">
        <v>882</v>
      </c>
      <c r="L815" s="713">
        <v>0</v>
      </c>
    </row>
    <row r="816" spans="1:12" x14ac:dyDescent="0.45">
      <c r="A816" s="637"/>
      <c r="B816" s="355">
        <f t="shared" si="100"/>
        <v>9</v>
      </c>
      <c r="C816" s="28" t="s">
        <v>14</v>
      </c>
      <c r="D816" s="630"/>
      <c r="E816" s="158" t="str">
        <f t="shared" si="99"/>
        <v>0x2559</v>
      </c>
      <c r="F816" s="632"/>
      <c r="G816" s="621"/>
      <c r="H816" s="618"/>
      <c r="I816" s="618"/>
      <c r="J816" s="618"/>
      <c r="K816" s="618"/>
      <c r="L816" s="715"/>
    </row>
    <row r="817" spans="1:12" x14ac:dyDescent="0.45">
      <c r="A817" s="637"/>
      <c r="B817" s="355">
        <f t="shared" si="100"/>
        <v>10</v>
      </c>
      <c r="C817" s="28" t="s">
        <v>15</v>
      </c>
      <c r="D817" s="630"/>
      <c r="E817" s="158" t="str">
        <f t="shared" si="99"/>
        <v>0x255A</v>
      </c>
      <c r="F817" s="632"/>
      <c r="G817" s="621"/>
      <c r="H817" s="618"/>
      <c r="I817" s="618"/>
      <c r="J817" s="618"/>
      <c r="K817" s="618"/>
      <c r="L817" s="715"/>
    </row>
    <row r="818" spans="1:12" x14ac:dyDescent="0.45">
      <c r="A818" s="637"/>
      <c r="B818" s="355">
        <f t="shared" si="100"/>
        <v>11</v>
      </c>
      <c r="C818" s="28" t="s">
        <v>16</v>
      </c>
      <c r="D818" s="630"/>
      <c r="E818" s="158" t="str">
        <f t="shared" si="99"/>
        <v>0x255B</v>
      </c>
      <c r="F818" s="632"/>
      <c r="G818" s="621"/>
      <c r="H818" s="618"/>
      <c r="I818" s="618"/>
      <c r="J818" s="618"/>
      <c r="K818" s="618"/>
      <c r="L818" s="715"/>
    </row>
    <row r="819" spans="1:12" x14ac:dyDescent="0.45">
      <c r="A819" s="637"/>
      <c r="B819" s="355">
        <f t="shared" si="100"/>
        <v>12</v>
      </c>
      <c r="C819" s="28" t="s">
        <v>17</v>
      </c>
      <c r="D819" s="630"/>
      <c r="E819" s="158" t="str">
        <f t="shared" si="99"/>
        <v>0x255C</v>
      </c>
      <c r="F819" s="632"/>
      <c r="G819" s="621"/>
      <c r="H819" s="618"/>
      <c r="I819" s="618"/>
      <c r="J819" s="618"/>
      <c r="K819" s="618"/>
      <c r="L819" s="715"/>
    </row>
    <row r="820" spans="1:12" x14ac:dyDescent="0.45">
      <c r="A820" s="637"/>
      <c r="B820" s="355">
        <f t="shared" si="100"/>
        <v>13</v>
      </c>
      <c r="C820" s="28" t="s">
        <v>18</v>
      </c>
      <c r="D820" s="630"/>
      <c r="E820" s="158" t="str">
        <f t="shared" si="99"/>
        <v>0x255D</v>
      </c>
      <c r="F820" s="632"/>
      <c r="G820" s="621"/>
      <c r="H820" s="618"/>
      <c r="I820" s="618"/>
      <c r="J820" s="618"/>
      <c r="K820" s="618"/>
      <c r="L820" s="715"/>
    </row>
    <row r="821" spans="1:12" x14ac:dyDescent="0.45">
      <c r="A821" s="637"/>
      <c r="B821" s="355">
        <f t="shared" si="100"/>
        <v>14</v>
      </c>
      <c r="C821" s="28" t="s">
        <v>19</v>
      </c>
      <c r="D821" s="630"/>
      <c r="E821" s="158" t="str">
        <f t="shared" si="99"/>
        <v>0x255E</v>
      </c>
      <c r="F821" s="632"/>
      <c r="G821" s="621"/>
      <c r="H821" s="618"/>
      <c r="I821" s="618"/>
      <c r="J821" s="618"/>
      <c r="K821" s="618"/>
      <c r="L821" s="715"/>
    </row>
    <row r="822" spans="1:12" x14ac:dyDescent="0.45">
      <c r="A822" s="637"/>
      <c r="B822" s="45">
        <f t="shared" si="100"/>
        <v>15</v>
      </c>
      <c r="C822" s="46" t="s">
        <v>20</v>
      </c>
      <c r="D822" s="631"/>
      <c r="E822" s="159" t="str">
        <f t="shared" si="99"/>
        <v>0x255F</v>
      </c>
      <c r="F822" s="632"/>
      <c r="G822" s="622"/>
      <c r="H822" s="619"/>
      <c r="I822" s="619"/>
      <c r="J822" s="619"/>
      <c r="K822" s="619"/>
      <c r="L822" s="716"/>
    </row>
    <row r="823" spans="1:12" x14ac:dyDescent="0.45">
      <c r="A823" s="637"/>
      <c r="B823" s="356" t="s">
        <v>863</v>
      </c>
      <c r="C823" s="21" t="str">
        <f>CONCATENATE("0x",DEC2HEX(6+HEX2DEC('inicio zonas'!$C$24)))</f>
        <v>0x256</v>
      </c>
      <c r="D823"/>
      <c r="E823" s="24"/>
      <c r="F823"/>
      <c r="G823" s="421"/>
      <c r="H823" s="273"/>
      <c r="I823" s="25"/>
      <c r="J823" s="21"/>
      <c r="K823" s="434"/>
      <c r="L823" s="263"/>
    </row>
    <row r="824" spans="1:12" x14ac:dyDescent="0.45">
      <c r="A824" s="637"/>
      <c r="B824" s="355">
        <v>0</v>
      </c>
      <c r="C824" s="28" t="s">
        <v>2</v>
      </c>
      <c r="D824" s="630" t="s">
        <v>859</v>
      </c>
      <c r="E824" s="42" t="str">
        <f>CONCATENATE($C$823,DEC2HEX(B824))</f>
        <v>0x2560</v>
      </c>
      <c r="F824" s="717"/>
      <c r="G824" s="620" t="s">
        <v>923</v>
      </c>
      <c r="H824" s="617" t="s">
        <v>923</v>
      </c>
      <c r="I824" s="617" t="s">
        <v>655</v>
      </c>
      <c r="J824" s="617" t="s">
        <v>922</v>
      </c>
      <c r="K824" s="711" t="s">
        <v>882</v>
      </c>
      <c r="L824" s="712">
        <v>0</v>
      </c>
    </row>
    <row r="825" spans="1:12" x14ac:dyDescent="0.45">
      <c r="A825" s="637"/>
      <c r="B825" s="355">
        <f>B824+1</f>
        <v>1</v>
      </c>
      <c r="C825" s="28" t="s">
        <v>4</v>
      </c>
      <c r="D825" s="630"/>
      <c r="E825" s="42" t="str">
        <f t="shared" ref="E825:E839" si="101">CONCATENATE($C$823,DEC2HEX(B825))</f>
        <v>0x2561</v>
      </c>
      <c r="F825" s="718"/>
      <c r="G825" s="621"/>
      <c r="H825" s="618"/>
      <c r="I825" s="618"/>
      <c r="J825" s="618"/>
      <c r="K825" s="618"/>
      <c r="L825" s="713"/>
    </row>
    <row r="826" spans="1:12" x14ac:dyDescent="0.45">
      <c r="A826" s="637"/>
      <c r="B826" s="355">
        <f t="shared" ref="B826:B839" si="102">B825+1</f>
        <v>2</v>
      </c>
      <c r="C826" s="28" t="s">
        <v>6</v>
      </c>
      <c r="D826" s="630"/>
      <c r="E826" s="42" t="str">
        <f t="shared" si="101"/>
        <v>0x2562</v>
      </c>
      <c r="F826" s="718"/>
      <c r="G826" s="621"/>
      <c r="H826" s="618"/>
      <c r="I826" s="618"/>
      <c r="J826" s="618"/>
      <c r="K826" s="618"/>
      <c r="L826" s="713"/>
    </row>
    <row r="827" spans="1:12" x14ac:dyDescent="0.45">
      <c r="A827" s="637"/>
      <c r="B827" s="355">
        <f t="shared" si="102"/>
        <v>3</v>
      </c>
      <c r="C827" s="28" t="s">
        <v>7</v>
      </c>
      <c r="D827" s="630"/>
      <c r="E827" s="42" t="str">
        <f t="shared" si="101"/>
        <v>0x2563</v>
      </c>
      <c r="F827" s="718"/>
      <c r="G827" s="621"/>
      <c r="H827" s="618"/>
      <c r="I827" s="618"/>
      <c r="J827" s="618"/>
      <c r="K827" s="618"/>
      <c r="L827" s="713"/>
    </row>
    <row r="828" spans="1:12" x14ac:dyDescent="0.45">
      <c r="A828" s="637"/>
      <c r="B828" s="355">
        <f t="shared" si="102"/>
        <v>4</v>
      </c>
      <c r="C828" s="28" t="s">
        <v>8</v>
      </c>
      <c r="D828" s="630"/>
      <c r="E828" s="42" t="str">
        <f t="shared" si="101"/>
        <v>0x2564</v>
      </c>
      <c r="F828" s="718"/>
      <c r="G828" s="621"/>
      <c r="H828" s="618"/>
      <c r="I828" s="618"/>
      <c r="J828" s="618"/>
      <c r="K828" s="618"/>
      <c r="L828" s="713"/>
    </row>
    <row r="829" spans="1:12" x14ac:dyDescent="0.45">
      <c r="A829" s="637"/>
      <c r="B829" s="355">
        <f t="shared" si="102"/>
        <v>5</v>
      </c>
      <c r="C829" s="28" t="s">
        <v>9</v>
      </c>
      <c r="D829" s="630"/>
      <c r="E829" s="42" t="str">
        <f t="shared" si="101"/>
        <v>0x2565</v>
      </c>
      <c r="F829" s="718"/>
      <c r="G829" s="621"/>
      <c r="H829" s="618"/>
      <c r="I829" s="618"/>
      <c r="J829" s="618"/>
      <c r="K829" s="618"/>
      <c r="L829" s="713"/>
    </row>
    <row r="830" spans="1:12" x14ac:dyDescent="0.45">
      <c r="A830" s="637"/>
      <c r="B830" s="355">
        <f t="shared" si="102"/>
        <v>6</v>
      </c>
      <c r="C830" s="28" t="s">
        <v>10</v>
      </c>
      <c r="D830" s="630"/>
      <c r="E830" s="42" t="str">
        <f t="shared" si="101"/>
        <v>0x2566</v>
      </c>
      <c r="F830" s="718"/>
      <c r="G830" s="621"/>
      <c r="H830" s="618"/>
      <c r="I830" s="618"/>
      <c r="J830" s="618"/>
      <c r="K830" s="618"/>
      <c r="L830" s="713"/>
    </row>
    <row r="831" spans="1:12" x14ac:dyDescent="0.45">
      <c r="A831" s="637"/>
      <c r="B831" s="355">
        <f t="shared" si="102"/>
        <v>7</v>
      </c>
      <c r="C831" s="28" t="s">
        <v>12</v>
      </c>
      <c r="D831" s="630"/>
      <c r="E831" s="42" t="str">
        <f t="shared" si="101"/>
        <v>0x2567</v>
      </c>
      <c r="F831" s="719"/>
      <c r="G831" s="622"/>
      <c r="H831" s="619"/>
      <c r="I831" s="619"/>
      <c r="J831" s="619"/>
      <c r="K831" s="619"/>
      <c r="L831" s="714"/>
    </row>
    <row r="832" spans="1:12" x14ac:dyDescent="0.45">
      <c r="A832" s="637"/>
      <c r="B832" s="355">
        <f t="shared" si="102"/>
        <v>8</v>
      </c>
      <c r="C832" s="28" t="s">
        <v>13</v>
      </c>
      <c r="D832" s="630" t="s">
        <v>860</v>
      </c>
      <c r="E832" s="42" t="str">
        <f t="shared" si="101"/>
        <v>0x2568</v>
      </c>
      <c r="F832" s="717"/>
      <c r="G832" s="620" t="s">
        <v>923</v>
      </c>
      <c r="H832" s="617" t="s">
        <v>923</v>
      </c>
      <c r="I832" s="618" t="s">
        <v>655</v>
      </c>
      <c r="J832" s="617" t="s">
        <v>922</v>
      </c>
      <c r="K832" s="711" t="s">
        <v>882</v>
      </c>
      <c r="L832" s="712">
        <v>0</v>
      </c>
    </row>
    <row r="833" spans="1:12" x14ac:dyDescent="0.45">
      <c r="A833" s="637"/>
      <c r="B833" s="355">
        <f t="shared" si="102"/>
        <v>9</v>
      </c>
      <c r="C833" s="28" t="s">
        <v>14</v>
      </c>
      <c r="D833" s="630"/>
      <c r="E833" s="42" t="str">
        <f t="shared" si="101"/>
        <v>0x2569</v>
      </c>
      <c r="F833" s="718"/>
      <c r="G833" s="621"/>
      <c r="H833" s="618"/>
      <c r="I833" s="618"/>
      <c r="J833" s="618"/>
      <c r="K833" s="618"/>
      <c r="L833" s="713"/>
    </row>
    <row r="834" spans="1:12" x14ac:dyDescent="0.45">
      <c r="A834" s="637"/>
      <c r="B834" s="355">
        <f t="shared" si="102"/>
        <v>10</v>
      </c>
      <c r="C834" s="28" t="s">
        <v>15</v>
      </c>
      <c r="D834" s="630"/>
      <c r="E834" s="42" t="str">
        <f t="shared" si="101"/>
        <v>0x256A</v>
      </c>
      <c r="F834" s="718"/>
      <c r="G834" s="621"/>
      <c r="H834" s="618"/>
      <c r="I834" s="618"/>
      <c r="J834" s="618"/>
      <c r="K834" s="618"/>
      <c r="L834" s="713"/>
    </row>
    <row r="835" spans="1:12" x14ac:dyDescent="0.45">
      <c r="A835" s="637"/>
      <c r="B835" s="355">
        <f t="shared" si="102"/>
        <v>11</v>
      </c>
      <c r="C835" s="28" t="s">
        <v>16</v>
      </c>
      <c r="D835" s="630"/>
      <c r="E835" s="42" t="str">
        <f t="shared" si="101"/>
        <v>0x256B</v>
      </c>
      <c r="F835" s="718"/>
      <c r="G835" s="621"/>
      <c r="H835" s="618"/>
      <c r="I835" s="618"/>
      <c r="J835" s="618"/>
      <c r="K835" s="618"/>
      <c r="L835" s="713"/>
    </row>
    <row r="836" spans="1:12" x14ac:dyDescent="0.45">
      <c r="A836" s="637"/>
      <c r="B836" s="355">
        <f t="shared" si="102"/>
        <v>12</v>
      </c>
      <c r="C836" s="28" t="s">
        <v>17</v>
      </c>
      <c r="D836" s="630"/>
      <c r="E836" s="42" t="str">
        <f t="shared" si="101"/>
        <v>0x256C</v>
      </c>
      <c r="F836" s="718"/>
      <c r="G836" s="621"/>
      <c r="H836" s="618"/>
      <c r="I836" s="618"/>
      <c r="J836" s="618"/>
      <c r="K836" s="618"/>
      <c r="L836" s="713"/>
    </row>
    <row r="837" spans="1:12" x14ac:dyDescent="0.45">
      <c r="A837" s="637"/>
      <c r="B837" s="355">
        <f t="shared" si="102"/>
        <v>13</v>
      </c>
      <c r="C837" s="28" t="s">
        <v>18</v>
      </c>
      <c r="D837" s="630"/>
      <c r="E837" s="42" t="str">
        <f t="shared" si="101"/>
        <v>0x256D</v>
      </c>
      <c r="F837" s="718"/>
      <c r="G837" s="621"/>
      <c r="H837" s="618"/>
      <c r="I837" s="618"/>
      <c r="J837" s="618"/>
      <c r="K837" s="618"/>
      <c r="L837" s="713"/>
    </row>
    <row r="838" spans="1:12" x14ac:dyDescent="0.45">
      <c r="A838" s="637"/>
      <c r="B838" s="355">
        <f t="shared" si="102"/>
        <v>14</v>
      </c>
      <c r="C838" s="28" t="s">
        <v>19</v>
      </c>
      <c r="D838" s="630"/>
      <c r="E838" s="42" t="str">
        <f t="shared" si="101"/>
        <v>0x256E</v>
      </c>
      <c r="F838" s="718"/>
      <c r="G838" s="621"/>
      <c r="H838" s="618"/>
      <c r="I838" s="618"/>
      <c r="J838" s="618"/>
      <c r="K838" s="618"/>
      <c r="L838" s="713"/>
    </row>
    <row r="839" spans="1:12" x14ac:dyDescent="0.45">
      <c r="A839" s="637"/>
      <c r="B839" s="45">
        <f t="shared" si="102"/>
        <v>15</v>
      </c>
      <c r="C839" s="46" t="s">
        <v>20</v>
      </c>
      <c r="D839" s="631"/>
      <c r="E839" s="42" t="str">
        <f t="shared" si="101"/>
        <v>0x256F</v>
      </c>
      <c r="F839" s="719"/>
      <c r="G839" s="622"/>
      <c r="H839" s="619"/>
      <c r="I839" s="619"/>
      <c r="J839" s="619"/>
      <c r="K839" s="619"/>
      <c r="L839" s="714"/>
    </row>
    <row r="840" spans="1:12" x14ac:dyDescent="0.45">
      <c r="A840" s="637"/>
      <c r="B840" s="356" t="s">
        <v>864</v>
      </c>
      <c r="C840" s="21" t="str">
        <f>CONCATENATE("0x",DEC2HEX(7+HEX2DEC('inicio zonas'!$C$24)))</f>
        <v>0x257</v>
      </c>
      <c r="D840" s="431"/>
      <c r="E840" s="52"/>
      <c r="F840"/>
      <c r="G840" s="421"/>
      <c r="H840" s="273"/>
      <c r="I840" s="25"/>
      <c r="J840" s="21"/>
      <c r="K840" s="434"/>
      <c r="L840" s="263"/>
    </row>
    <row r="841" spans="1:12" x14ac:dyDescent="0.45">
      <c r="A841" s="637"/>
      <c r="B841" s="355">
        <v>0</v>
      </c>
      <c r="C841" s="28" t="s">
        <v>2</v>
      </c>
      <c r="D841" s="630" t="s">
        <v>852</v>
      </c>
      <c r="E841" s="42" t="str">
        <f>CONCATENATE($C$840,DEC2HEX(B841))</f>
        <v>0x2570</v>
      </c>
      <c r="F841" s="623"/>
      <c r="G841" s="620" t="s">
        <v>923</v>
      </c>
      <c r="H841" s="617" t="s">
        <v>923</v>
      </c>
      <c r="I841" s="617" t="s">
        <v>655</v>
      </c>
      <c r="J841" s="617" t="s">
        <v>922</v>
      </c>
      <c r="K841" s="711" t="s">
        <v>882</v>
      </c>
      <c r="L841" s="712">
        <v>0</v>
      </c>
    </row>
    <row r="842" spans="1:12" x14ac:dyDescent="0.45">
      <c r="A842" s="637"/>
      <c r="B842" s="355">
        <f>B841+1</f>
        <v>1</v>
      </c>
      <c r="C842" s="28" t="s">
        <v>4</v>
      </c>
      <c r="D842" s="630"/>
      <c r="E842" s="42" t="str">
        <f t="shared" ref="E842:E856" si="103">CONCATENATE($C$840,DEC2HEX(B842))</f>
        <v>0x2571</v>
      </c>
      <c r="F842" s="624"/>
      <c r="G842" s="621"/>
      <c r="H842" s="618"/>
      <c r="I842" s="618"/>
      <c r="J842" s="618"/>
      <c r="K842" s="618"/>
      <c r="L842" s="713"/>
    </row>
    <row r="843" spans="1:12" x14ac:dyDescent="0.45">
      <c r="A843" s="637"/>
      <c r="B843" s="355">
        <f t="shared" ref="B843:B856" si="104">B842+1</f>
        <v>2</v>
      </c>
      <c r="C843" s="28" t="s">
        <v>6</v>
      </c>
      <c r="D843" s="630"/>
      <c r="E843" s="42" t="str">
        <f t="shared" si="103"/>
        <v>0x2572</v>
      </c>
      <c r="F843" s="624"/>
      <c r="G843" s="621"/>
      <c r="H843" s="618"/>
      <c r="I843" s="618"/>
      <c r="J843" s="618"/>
      <c r="K843" s="618"/>
      <c r="L843" s="713"/>
    </row>
    <row r="844" spans="1:12" x14ac:dyDescent="0.45">
      <c r="A844" s="637"/>
      <c r="B844" s="355">
        <f t="shared" si="104"/>
        <v>3</v>
      </c>
      <c r="C844" s="28" t="s">
        <v>7</v>
      </c>
      <c r="D844" s="630"/>
      <c r="E844" s="42" t="str">
        <f t="shared" si="103"/>
        <v>0x2573</v>
      </c>
      <c r="F844" s="624"/>
      <c r="G844" s="621"/>
      <c r="H844" s="618"/>
      <c r="I844" s="618"/>
      <c r="J844" s="618"/>
      <c r="K844" s="618"/>
      <c r="L844" s="713"/>
    </row>
    <row r="845" spans="1:12" x14ac:dyDescent="0.45">
      <c r="A845" s="637"/>
      <c r="B845" s="355">
        <f t="shared" si="104"/>
        <v>4</v>
      </c>
      <c r="C845" s="28" t="s">
        <v>8</v>
      </c>
      <c r="D845" s="630"/>
      <c r="E845" s="42" t="str">
        <f t="shared" si="103"/>
        <v>0x2574</v>
      </c>
      <c r="F845" s="624"/>
      <c r="G845" s="621"/>
      <c r="H845" s="618"/>
      <c r="I845" s="618"/>
      <c r="J845" s="618"/>
      <c r="K845" s="618"/>
      <c r="L845" s="713"/>
    </row>
    <row r="846" spans="1:12" x14ac:dyDescent="0.45">
      <c r="A846" s="637"/>
      <c r="B846" s="355">
        <f t="shared" si="104"/>
        <v>5</v>
      </c>
      <c r="C846" s="28" t="s">
        <v>9</v>
      </c>
      <c r="D846" s="630"/>
      <c r="E846" s="42" t="str">
        <f t="shared" si="103"/>
        <v>0x2575</v>
      </c>
      <c r="F846" s="624"/>
      <c r="G846" s="621"/>
      <c r="H846" s="618"/>
      <c r="I846" s="618"/>
      <c r="J846" s="618"/>
      <c r="K846" s="618"/>
      <c r="L846" s="713"/>
    </row>
    <row r="847" spans="1:12" x14ac:dyDescent="0.45">
      <c r="A847" s="637"/>
      <c r="B847" s="355">
        <f t="shared" si="104"/>
        <v>6</v>
      </c>
      <c r="C847" s="28" t="s">
        <v>10</v>
      </c>
      <c r="D847" s="630"/>
      <c r="E847" s="42" t="str">
        <f t="shared" si="103"/>
        <v>0x2576</v>
      </c>
      <c r="F847" s="624"/>
      <c r="G847" s="621"/>
      <c r="H847" s="618"/>
      <c r="I847" s="618"/>
      <c r="J847" s="618"/>
      <c r="K847" s="618"/>
      <c r="L847" s="713"/>
    </row>
    <row r="848" spans="1:12" x14ac:dyDescent="0.45">
      <c r="A848" s="637"/>
      <c r="B848" s="355">
        <f t="shared" si="104"/>
        <v>7</v>
      </c>
      <c r="C848" s="28" t="s">
        <v>12</v>
      </c>
      <c r="D848" s="630"/>
      <c r="E848" s="42" t="str">
        <f t="shared" si="103"/>
        <v>0x2577</v>
      </c>
      <c r="F848" s="625"/>
      <c r="G848" s="622"/>
      <c r="H848" s="619"/>
      <c r="I848" s="619"/>
      <c r="J848" s="619"/>
      <c r="K848" s="619"/>
      <c r="L848" s="714"/>
    </row>
    <row r="849" spans="1:12" x14ac:dyDescent="0.45">
      <c r="A849" s="637"/>
      <c r="B849" s="355">
        <f t="shared" si="104"/>
        <v>8</v>
      </c>
      <c r="C849" s="28" t="s">
        <v>13</v>
      </c>
      <c r="D849" s="630" t="s">
        <v>853</v>
      </c>
      <c r="E849" s="42" t="str">
        <f t="shared" si="103"/>
        <v>0x2578</v>
      </c>
      <c r="F849" s="623"/>
      <c r="G849" s="620" t="s">
        <v>923</v>
      </c>
      <c r="H849" s="617" t="s">
        <v>923</v>
      </c>
      <c r="I849" s="618" t="s">
        <v>655</v>
      </c>
      <c r="J849" s="617" t="s">
        <v>922</v>
      </c>
      <c r="K849" s="711" t="s">
        <v>882</v>
      </c>
      <c r="L849" s="712">
        <v>0</v>
      </c>
    </row>
    <row r="850" spans="1:12" x14ac:dyDescent="0.45">
      <c r="A850" s="637"/>
      <c r="B850" s="355">
        <f t="shared" si="104"/>
        <v>9</v>
      </c>
      <c r="C850" s="28" t="s">
        <v>14</v>
      </c>
      <c r="D850" s="630"/>
      <c r="E850" s="42" t="str">
        <f t="shared" si="103"/>
        <v>0x2579</v>
      </c>
      <c r="F850" s="624"/>
      <c r="G850" s="621"/>
      <c r="H850" s="618"/>
      <c r="I850" s="618"/>
      <c r="J850" s="618"/>
      <c r="K850" s="618"/>
      <c r="L850" s="713"/>
    </row>
    <row r="851" spans="1:12" x14ac:dyDescent="0.45">
      <c r="A851" s="637"/>
      <c r="B851" s="355">
        <f t="shared" si="104"/>
        <v>10</v>
      </c>
      <c r="C851" s="28" t="s">
        <v>15</v>
      </c>
      <c r="D851" s="630"/>
      <c r="E851" s="42" t="str">
        <f t="shared" si="103"/>
        <v>0x257A</v>
      </c>
      <c r="F851" s="624"/>
      <c r="G851" s="621"/>
      <c r="H851" s="618"/>
      <c r="I851" s="618"/>
      <c r="J851" s="618"/>
      <c r="K851" s="618"/>
      <c r="L851" s="713"/>
    </row>
    <row r="852" spans="1:12" x14ac:dyDescent="0.45">
      <c r="A852" s="637"/>
      <c r="B852" s="355">
        <f t="shared" si="104"/>
        <v>11</v>
      </c>
      <c r="C852" s="28" t="s">
        <v>16</v>
      </c>
      <c r="D852" s="630"/>
      <c r="E852" s="42" t="str">
        <f t="shared" si="103"/>
        <v>0x257B</v>
      </c>
      <c r="F852" s="624"/>
      <c r="G852" s="621"/>
      <c r="H852" s="618"/>
      <c r="I852" s="618"/>
      <c r="J852" s="618"/>
      <c r="K852" s="618"/>
      <c r="L852" s="713"/>
    </row>
    <row r="853" spans="1:12" x14ac:dyDescent="0.45">
      <c r="A853" s="637"/>
      <c r="B853" s="355">
        <f t="shared" si="104"/>
        <v>12</v>
      </c>
      <c r="C853" s="28" t="s">
        <v>17</v>
      </c>
      <c r="D853" s="630"/>
      <c r="E853" s="42" t="str">
        <f t="shared" si="103"/>
        <v>0x257C</v>
      </c>
      <c r="F853" s="624"/>
      <c r="G853" s="621"/>
      <c r="H853" s="618"/>
      <c r="I853" s="618"/>
      <c r="J853" s="618"/>
      <c r="K853" s="618"/>
      <c r="L853" s="713"/>
    </row>
    <row r="854" spans="1:12" x14ac:dyDescent="0.45">
      <c r="A854" s="637"/>
      <c r="B854" s="355">
        <f t="shared" si="104"/>
        <v>13</v>
      </c>
      <c r="C854" s="28" t="s">
        <v>18</v>
      </c>
      <c r="D854" s="630"/>
      <c r="E854" s="42" t="str">
        <f t="shared" si="103"/>
        <v>0x257D</v>
      </c>
      <c r="F854" s="624"/>
      <c r="G854" s="621"/>
      <c r="H854" s="618"/>
      <c r="I854" s="618"/>
      <c r="J854" s="618"/>
      <c r="K854" s="618"/>
      <c r="L854" s="713"/>
    </row>
    <row r="855" spans="1:12" x14ac:dyDescent="0.45">
      <c r="A855" s="637"/>
      <c r="B855" s="355">
        <f t="shared" si="104"/>
        <v>14</v>
      </c>
      <c r="C855" s="28" t="s">
        <v>19</v>
      </c>
      <c r="D855" s="630"/>
      <c r="E855" s="42" t="str">
        <f t="shared" si="103"/>
        <v>0x257E</v>
      </c>
      <c r="F855" s="624"/>
      <c r="G855" s="621"/>
      <c r="H855" s="618"/>
      <c r="I855" s="618"/>
      <c r="J855" s="618"/>
      <c r="K855" s="618"/>
      <c r="L855" s="713"/>
    </row>
    <row r="856" spans="1:12" x14ac:dyDescent="0.45">
      <c r="A856" s="638"/>
      <c r="B856" s="45">
        <f t="shared" si="104"/>
        <v>15</v>
      </c>
      <c r="C856" s="46" t="s">
        <v>20</v>
      </c>
      <c r="D856" s="631"/>
      <c r="E856" s="48" t="str">
        <f t="shared" si="103"/>
        <v>0x257F</v>
      </c>
      <c r="F856" s="625"/>
      <c r="G856" s="622"/>
      <c r="H856" s="619"/>
      <c r="I856" s="619"/>
      <c r="J856" s="619"/>
      <c r="K856" s="619"/>
      <c r="L856" s="714"/>
    </row>
  </sheetData>
  <mergeCells count="337">
    <mergeCell ref="I12:I27"/>
    <mergeCell ref="I35:I50"/>
    <mergeCell ref="H824:H831"/>
    <mergeCell ref="H832:H839"/>
    <mergeCell ref="H841:H848"/>
    <mergeCell ref="H849:H856"/>
    <mergeCell ref="H617:H624"/>
    <mergeCell ref="H754:H761"/>
    <mergeCell ref="H767:H770"/>
    <mergeCell ref="H771:H774"/>
    <mergeCell ref="H775:H778"/>
    <mergeCell ref="H779:H782"/>
    <mergeCell ref="H413:H416"/>
    <mergeCell ref="H422:H425"/>
    <mergeCell ref="H426:H429"/>
    <mergeCell ref="H430:H433"/>
    <mergeCell ref="H434:H437"/>
    <mergeCell ref="H447:H450"/>
    <mergeCell ref="H451:H454"/>
    <mergeCell ref="H455:H458"/>
    <mergeCell ref="H464:H467"/>
    <mergeCell ref="I794:I801"/>
    <mergeCell ref="I807:I814"/>
    <mergeCell ref="I815:I822"/>
    <mergeCell ref="A694:A721"/>
    <mergeCell ref="A785:A856"/>
    <mergeCell ref="D849:D856"/>
    <mergeCell ref="F849:F856"/>
    <mergeCell ref="G849:G856"/>
    <mergeCell ref="J849:J856"/>
    <mergeCell ref="K849:K856"/>
    <mergeCell ref="L849:L856"/>
    <mergeCell ref="D841:D848"/>
    <mergeCell ref="F841:F848"/>
    <mergeCell ref="G841:G848"/>
    <mergeCell ref="J841:J848"/>
    <mergeCell ref="K841:K848"/>
    <mergeCell ref="L841:L848"/>
    <mergeCell ref="D832:D839"/>
    <mergeCell ref="F832:F839"/>
    <mergeCell ref="G832:G839"/>
    <mergeCell ref="J832:J839"/>
    <mergeCell ref="K832:K839"/>
    <mergeCell ref="L832:L839"/>
    <mergeCell ref="D824:D831"/>
    <mergeCell ref="F824:F831"/>
    <mergeCell ref="G824:G831"/>
    <mergeCell ref="J824:J831"/>
    <mergeCell ref="D798:D801"/>
    <mergeCell ref="D794:D797"/>
    <mergeCell ref="F794:F801"/>
    <mergeCell ref="G794:G801"/>
    <mergeCell ref="J794:J801"/>
    <mergeCell ref="K794:K801"/>
    <mergeCell ref="L794:L801"/>
    <mergeCell ref="D815:D822"/>
    <mergeCell ref="F815:F822"/>
    <mergeCell ref="G815:G822"/>
    <mergeCell ref="J815:J822"/>
    <mergeCell ref="K815:K822"/>
    <mergeCell ref="L815:L822"/>
    <mergeCell ref="D807:D814"/>
    <mergeCell ref="F807:F814"/>
    <mergeCell ref="G807:G814"/>
    <mergeCell ref="J807:J814"/>
    <mergeCell ref="K807:K814"/>
    <mergeCell ref="L807:L814"/>
    <mergeCell ref="H794:H801"/>
    <mergeCell ref="H807:H814"/>
    <mergeCell ref="H815:H822"/>
    <mergeCell ref="D779:D782"/>
    <mergeCell ref="F779:F782"/>
    <mergeCell ref="G779:G782"/>
    <mergeCell ref="J779:J782"/>
    <mergeCell ref="K779:K782"/>
    <mergeCell ref="L779:L782"/>
    <mergeCell ref="A745:A782"/>
    <mergeCell ref="D771:D774"/>
    <mergeCell ref="F771:F774"/>
    <mergeCell ref="G771:G774"/>
    <mergeCell ref="J771:J774"/>
    <mergeCell ref="K771:K774"/>
    <mergeCell ref="J767:J770"/>
    <mergeCell ref="J754:J761"/>
    <mergeCell ref="K754:K761"/>
    <mergeCell ref="D775:D778"/>
    <mergeCell ref="D754:D761"/>
    <mergeCell ref="D767:D770"/>
    <mergeCell ref="I754:I761"/>
    <mergeCell ref="I767:I770"/>
    <mergeCell ref="I771:I774"/>
    <mergeCell ref="I775:I778"/>
    <mergeCell ref="I779:I782"/>
    <mergeCell ref="A636:A691"/>
    <mergeCell ref="O300:O301"/>
    <mergeCell ref="A286:A333"/>
    <mergeCell ref="A336:A355"/>
    <mergeCell ref="A357:A376"/>
    <mergeCell ref="A216:A235"/>
    <mergeCell ref="Q254:R254"/>
    <mergeCell ref="A238:A283"/>
    <mergeCell ref="Q273:R273"/>
    <mergeCell ref="Q252:R252"/>
    <mergeCell ref="Q275:R275"/>
    <mergeCell ref="D405:D408"/>
    <mergeCell ref="D409:D412"/>
    <mergeCell ref="D413:D416"/>
    <mergeCell ref="D422:D425"/>
    <mergeCell ref="D426:D429"/>
    <mergeCell ref="D430:D433"/>
    <mergeCell ref="D434:D437"/>
    <mergeCell ref="A399:A401"/>
    <mergeCell ref="D447:D450"/>
    <mergeCell ref="F447:F450"/>
    <mergeCell ref="L447:L450"/>
    <mergeCell ref="J447:J450"/>
    <mergeCell ref="D451:D454"/>
    <mergeCell ref="A5:A53"/>
    <mergeCell ref="A404:A444"/>
    <mergeCell ref="A379:A395"/>
    <mergeCell ref="J413:J416"/>
    <mergeCell ref="L413:L416"/>
    <mergeCell ref="F422:F425"/>
    <mergeCell ref="F426:F429"/>
    <mergeCell ref="F430:F433"/>
    <mergeCell ref="J405:J408"/>
    <mergeCell ref="L405:L408"/>
    <mergeCell ref="J409:J412"/>
    <mergeCell ref="L409:L412"/>
    <mergeCell ref="F405:F408"/>
    <mergeCell ref="F409:F412"/>
    <mergeCell ref="F413:F416"/>
    <mergeCell ref="A197:A213"/>
    <mergeCell ref="G405:G408"/>
    <mergeCell ref="F59:F60"/>
    <mergeCell ref="G409:G412"/>
    <mergeCell ref="G413:G416"/>
    <mergeCell ref="G422:G425"/>
    <mergeCell ref="A56:A194"/>
    <mergeCell ref="H405:H408"/>
    <mergeCell ref="H409:H412"/>
    <mergeCell ref="J422:J425"/>
    <mergeCell ref="L422:L425"/>
    <mergeCell ref="J476:J479"/>
    <mergeCell ref="D472:D475"/>
    <mergeCell ref="F472:F475"/>
    <mergeCell ref="J426:J429"/>
    <mergeCell ref="L426:L429"/>
    <mergeCell ref="J430:J433"/>
    <mergeCell ref="L430:L433"/>
    <mergeCell ref="F455:F458"/>
    <mergeCell ref="L455:L458"/>
    <mergeCell ref="J455:J458"/>
    <mergeCell ref="L434:L437"/>
    <mergeCell ref="G430:G433"/>
    <mergeCell ref="G434:G437"/>
    <mergeCell ref="G447:G450"/>
    <mergeCell ref="K451:K454"/>
    <mergeCell ref="K455:K458"/>
    <mergeCell ref="D464:D467"/>
    <mergeCell ref="F464:F467"/>
    <mergeCell ref="J464:J467"/>
    <mergeCell ref="F434:F437"/>
    <mergeCell ref="J434:J437"/>
    <mergeCell ref="H468:H471"/>
    <mergeCell ref="A530:A570"/>
    <mergeCell ref="D531:D534"/>
    <mergeCell ref="F451:F454"/>
    <mergeCell ref="H472:H475"/>
    <mergeCell ref="H476:H479"/>
    <mergeCell ref="H489:H492"/>
    <mergeCell ref="H493:H496"/>
    <mergeCell ref="H497:H500"/>
    <mergeCell ref="H506:H509"/>
    <mergeCell ref="H510:H513"/>
    <mergeCell ref="H514:H517"/>
    <mergeCell ref="H518:H521"/>
    <mergeCell ref="H531:H534"/>
    <mergeCell ref="H535:H538"/>
    <mergeCell ref="H539:H542"/>
    <mergeCell ref="H548:H551"/>
    <mergeCell ref="H552:H555"/>
    <mergeCell ref="H556:H559"/>
    <mergeCell ref="L464:L467"/>
    <mergeCell ref="D468:D471"/>
    <mergeCell ref="F468:F471"/>
    <mergeCell ref="L468:L471"/>
    <mergeCell ref="A600:A626"/>
    <mergeCell ref="D617:D624"/>
    <mergeCell ref="F617:F624"/>
    <mergeCell ref="J617:J624"/>
    <mergeCell ref="L617:L624"/>
    <mergeCell ref="D589:D596"/>
    <mergeCell ref="J589:J596"/>
    <mergeCell ref="G617:G624"/>
    <mergeCell ref="K589:K596"/>
    <mergeCell ref="K617:K624"/>
    <mergeCell ref="H589:H596"/>
    <mergeCell ref="L589:L596"/>
    <mergeCell ref="F589:F596"/>
    <mergeCell ref="A572:A598"/>
    <mergeCell ref="G589:G596"/>
    <mergeCell ref="D514:D517"/>
    <mergeCell ref="F514:F517"/>
    <mergeCell ref="G514:G517"/>
    <mergeCell ref="J514:J517"/>
    <mergeCell ref="L514:L517"/>
    <mergeCell ref="D535:D538"/>
    <mergeCell ref="F535:F538"/>
    <mergeCell ref="G535:G538"/>
    <mergeCell ref="J535:J538"/>
    <mergeCell ref="L535:L538"/>
    <mergeCell ref="D506:D509"/>
    <mergeCell ref="F506:F509"/>
    <mergeCell ref="D497:D500"/>
    <mergeCell ref="F497:F500"/>
    <mergeCell ref="G506:G509"/>
    <mergeCell ref="D510:D513"/>
    <mergeCell ref="F510:F513"/>
    <mergeCell ref="G510:G513"/>
    <mergeCell ref="J510:J513"/>
    <mergeCell ref="K514:K517"/>
    <mergeCell ref="D518:D521"/>
    <mergeCell ref="F518:F521"/>
    <mergeCell ref="K447:K450"/>
    <mergeCell ref="L476:L479"/>
    <mergeCell ref="L451:L454"/>
    <mergeCell ref="L510:L513"/>
    <mergeCell ref="J468:J471"/>
    <mergeCell ref="G426:G429"/>
    <mergeCell ref="A446:A486"/>
    <mergeCell ref="J472:J475"/>
    <mergeCell ref="J506:J509"/>
    <mergeCell ref="L506:L509"/>
    <mergeCell ref="F476:F479"/>
    <mergeCell ref="K434:K437"/>
    <mergeCell ref="J451:J454"/>
    <mergeCell ref="D455:D458"/>
    <mergeCell ref="L472:L475"/>
    <mergeCell ref="D476:D479"/>
    <mergeCell ref="G451:G454"/>
    <mergeCell ref="G455:G458"/>
    <mergeCell ref="G464:G467"/>
    <mergeCell ref="G468:G471"/>
    <mergeCell ref="G472:G475"/>
    <mergeCell ref="G476:G479"/>
    <mergeCell ref="D552:D555"/>
    <mergeCell ref="F552:F555"/>
    <mergeCell ref="G552:G555"/>
    <mergeCell ref="J552:J555"/>
    <mergeCell ref="D560:D563"/>
    <mergeCell ref="F560:F563"/>
    <mergeCell ref="G3:L3"/>
    <mergeCell ref="A488:A528"/>
    <mergeCell ref="D489:D492"/>
    <mergeCell ref="F489:F492"/>
    <mergeCell ref="G489:G492"/>
    <mergeCell ref="J489:J492"/>
    <mergeCell ref="L489:L492"/>
    <mergeCell ref="D493:D496"/>
    <mergeCell ref="F493:F496"/>
    <mergeCell ref="G493:G496"/>
    <mergeCell ref="J493:J496"/>
    <mergeCell ref="L493:L496"/>
    <mergeCell ref="K405:K408"/>
    <mergeCell ref="K409:K412"/>
    <mergeCell ref="K413:K416"/>
    <mergeCell ref="K422:K425"/>
    <mergeCell ref="K426:K429"/>
    <mergeCell ref="K430:K433"/>
    <mergeCell ref="D539:D542"/>
    <mergeCell ref="F539:F542"/>
    <mergeCell ref="G539:G542"/>
    <mergeCell ref="J539:J542"/>
    <mergeCell ref="L539:L542"/>
    <mergeCell ref="D548:D551"/>
    <mergeCell ref="F548:F551"/>
    <mergeCell ref="G548:G551"/>
    <mergeCell ref="J548:J551"/>
    <mergeCell ref="L548:L551"/>
    <mergeCell ref="L518:L521"/>
    <mergeCell ref="G497:G500"/>
    <mergeCell ref="J497:J500"/>
    <mergeCell ref="L497:L500"/>
    <mergeCell ref="L556:L559"/>
    <mergeCell ref="L560:L563"/>
    <mergeCell ref="K556:K559"/>
    <mergeCell ref="K560:K563"/>
    <mergeCell ref="K548:K551"/>
    <mergeCell ref="K552:K555"/>
    <mergeCell ref="L552:L555"/>
    <mergeCell ref="H560:H563"/>
    <mergeCell ref="J556:J559"/>
    <mergeCell ref="L531:L534"/>
    <mergeCell ref="A724:A742"/>
    <mergeCell ref="K518:K521"/>
    <mergeCell ref="K531:K534"/>
    <mergeCell ref="K535:K538"/>
    <mergeCell ref="K539:K542"/>
    <mergeCell ref="K464:K467"/>
    <mergeCell ref="K468:K471"/>
    <mergeCell ref="K472:K475"/>
    <mergeCell ref="K476:K479"/>
    <mergeCell ref="K489:K492"/>
    <mergeCell ref="K493:K496"/>
    <mergeCell ref="K497:K500"/>
    <mergeCell ref="K506:K509"/>
    <mergeCell ref="K510:K513"/>
    <mergeCell ref="D556:D559"/>
    <mergeCell ref="F556:F559"/>
    <mergeCell ref="G556:G559"/>
    <mergeCell ref="G518:G521"/>
    <mergeCell ref="J518:J521"/>
    <mergeCell ref="G560:G563"/>
    <mergeCell ref="J560:J563"/>
    <mergeCell ref="F531:F534"/>
    <mergeCell ref="G531:G534"/>
    <mergeCell ref="J531:J534"/>
    <mergeCell ref="I824:I831"/>
    <mergeCell ref="I832:I839"/>
    <mergeCell ref="I841:I848"/>
    <mergeCell ref="I849:I856"/>
    <mergeCell ref="F754:F761"/>
    <mergeCell ref="F767:F770"/>
    <mergeCell ref="G767:G770"/>
    <mergeCell ref="L767:L770"/>
    <mergeCell ref="K767:K770"/>
    <mergeCell ref="F775:F778"/>
    <mergeCell ref="G775:G778"/>
    <mergeCell ref="J775:J778"/>
    <mergeCell ref="K775:K778"/>
    <mergeCell ref="L754:L761"/>
    <mergeCell ref="G754:G761"/>
    <mergeCell ref="L775:L778"/>
    <mergeCell ref="L771:L774"/>
    <mergeCell ref="K824:K831"/>
    <mergeCell ref="L824:L831"/>
  </mergeCells>
  <pageMargins left="0" right="0" top="0.74803149606299213" bottom="0.74803149606299213" header="0.31496062992125984" footer="0.31496062992125984"/>
  <pageSetup paperSize="9" scale="43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P649"/>
  <sheetViews>
    <sheetView workbookViewId="0">
      <selection activeCell="D37" sqref="D37"/>
    </sheetView>
  </sheetViews>
  <sheetFormatPr baseColWidth="10" defaultRowHeight="14.25" x14ac:dyDescent="0.45"/>
  <cols>
    <col min="1" max="1" width="16.86328125" customWidth="1"/>
    <col min="2" max="2" width="13.3984375" customWidth="1"/>
    <col min="3" max="3" width="13.86328125" customWidth="1"/>
  </cols>
  <sheetData>
    <row r="2" spans="1:5" x14ac:dyDescent="0.45">
      <c r="B2" s="722" t="s">
        <v>172</v>
      </c>
      <c r="C2" s="722"/>
      <c r="D2" s="722" t="s">
        <v>171</v>
      </c>
      <c r="E2" s="722"/>
    </row>
    <row r="3" spans="1:5" x14ac:dyDescent="0.45">
      <c r="B3" s="95" t="s">
        <v>730</v>
      </c>
      <c r="C3" s="95" t="s">
        <v>731</v>
      </c>
      <c r="D3" s="95" t="s">
        <v>57</v>
      </c>
      <c r="E3" s="95" t="s">
        <v>58</v>
      </c>
    </row>
    <row r="4" spans="1:5" x14ac:dyDescent="0.45">
      <c r="A4" s="87" t="s">
        <v>501</v>
      </c>
      <c r="B4" s="95"/>
      <c r="C4" s="95">
        <v>0</v>
      </c>
      <c r="D4" s="95"/>
      <c r="E4" s="95">
        <f t="shared" ref="E4:E7" si="0">HEX2DEC(C4)</f>
        <v>0</v>
      </c>
    </row>
    <row r="5" spans="1:5" x14ac:dyDescent="0.45">
      <c r="A5" s="87" t="s">
        <v>500</v>
      </c>
      <c r="B5" s="95">
        <v>0</v>
      </c>
      <c r="C5" s="95">
        <v>14</v>
      </c>
      <c r="D5" s="95">
        <f t="shared" ref="D5:D7" si="1">HEX2DEC(B5)</f>
        <v>0</v>
      </c>
      <c r="E5" s="95">
        <f t="shared" si="0"/>
        <v>20</v>
      </c>
    </row>
    <row r="6" spans="1:5" x14ac:dyDescent="0.45">
      <c r="A6" s="87" t="s">
        <v>498</v>
      </c>
      <c r="B6" s="95" t="s">
        <v>502</v>
      </c>
      <c r="C6" s="95"/>
      <c r="D6" s="95">
        <f t="shared" si="1"/>
        <v>26</v>
      </c>
      <c r="E6" s="95"/>
    </row>
    <row r="7" spans="1:5" x14ac:dyDescent="0.45">
      <c r="A7" s="87" t="s">
        <v>173</v>
      </c>
      <c r="B7" s="95">
        <v>20</v>
      </c>
      <c r="C7" s="95">
        <v>20</v>
      </c>
      <c r="D7" s="95">
        <f t="shared" si="1"/>
        <v>32</v>
      </c>
      <c r="E7" s="95">
        <f t="shared" si="0"/>
        <v>32</v>
      </c>
    </row>
    <row r="8" spans="1:5" x14ac:dyDescent="0.45">
      <c r="A8" s="87" t="s">
        <v>160</v>
      </c>
      <c r="B8" s="95">
        <v>30</v>
      </c>
      <c r="C8" s="95">
        <v>30</v>
      </c>
      <c r="D8" s="95">
        <f>HEX2DEC(B8)</f>
        <v>48</v>
      </c>
      <c r="E8" s="95">
        <f>HEX2DEC(C8)</f>
        <v>48</v>
      </c>
    </row>
    <row r="9" spans="1:5" x14ac:dyDescent="0.45">
      <c r="A9" s="87" t="s">
        <v>161</v>
      </c>
      <c r="B9" s="95">
        <v>40</v>
      </c>
      <c r="C9" s="95">
        <v>40</v>
      </c>
      <c r="D9" s="95">
        <f t="shared" ref="D9:D21" si="2">HEX2DEC(B9)</f>
        <v>64</v>
      </c>
      <c r="E9" s="95">
        <f t="shared" ref="D9:E24" si="3">HEX2DEC(C9)</f>
        <v>64</v>
      </c>
    </row>
    <row r="10" spans="1:5" x14ac:dyDescent="0.45">
      <c r="A10" s="87" t="s">
        <v>134</v>
      </c>
      <c r="B10" s="95">
        <v>50</v>
      </c>
      <c r="C10" s="95">
        <v>50</v>
      </c>
      <c r="D10" s="95">
        <f t="shared" si="2"/>
        <v>80</v>
      </c>
      <c r="E10" s="95">
        <f t="shared" si="3"/>
        <v>80</v>
      </c>
    </row>
    <row r="11" spans="1:5" x14ac:dyDescent="0.45">
      <c r="A11" s="87" t="s">
        <v>136</v>
      </c>
      <c r="B11" s="95">
        <v>80</v>
      </c>
      <c r="C11" s="95">
        <v>80</v>
      </c>
      <c r="D11" s="95">
        <f t="shared" si="2"/>
        <v>128</v>
      </c>
      <c r="E11" s="95">
        <f t="shared" si="3"/>
        <v>128</v>
      </c>
    </row>
    <row r="12" spans="1:5" x14ac:dyDescent="0.45">
      <c r="A12" s="87" t="s">
        <v>162</v>
      </c>
      <c r="B12" s="95" t="s">
        <v>439</v>
      </c>
      <c r="C12" s="95" t="s">
        <v>439</v>
      </c>
      <c r="D12" s="95">
        <f t="shared" si="2"/>
        <v>176</v>
      </c>
      <c r="E12" s="95">
        <f t="shared" si="3"/>
        <v>176</v>
      </c>
    </row>
    <row r="13" spans="1:5" x14ac:dyDescent="0.45">
      <c r="A13" s="87" t="s">
        <v>163</v>
      </c>
      <c r="B13" s="95" t="s">
        <v>440</v>
      </c>
      <c r="C13" s="95" t="s">
        <v>440</v>
      </c>
      <c r="D13" s="95">
        <f t="shared" si="2"/>
        <v>192</v>
      </c>
      <c r="E13" s="95">
        <f t="shared" si="3"/>
        <v>192</v>
      </c>
    </row>
    <row r="14" spans="1:5" x14ac:dyDescent="0.45">
      <c r="A14" s="87" t="s">
        <v>397</v>
      </c>
      <c r="B14" s="95" t="s">
        <v>471</v>
      </c>
      <c r="C14" s="95" t="s">
        <v>471</v>
      </c>
      <c r="D14" s="95">
        <f t="shared" si="2"/>
        <v>208</v>
      </c>
      <c r="E14" s="95">
        <f t="shared" si="3"/>
        <v>208</v>
      </c>
    </row>
    <row r="15" spans="1:5" x14ac:dyDescent="0.45">
      <c r="A15" s="87" t="s">
        <v>164</v>
      </c>
      <c r="B15" s="95" t="s">
        <v>472</v>
      </c>
      <c r="C15" s="95" t="s">
        <v>472</v>
      </c>
      <c r="D15" s="95">
        <f t="shared" si="2"/>
        <v>224</v>
      </c>
      <c r="E15" s="95">
        <f t="shared" si="3"/>
        <v>224</v>
      </c>
    </row>
    <row r="16" spans="1:5" x14ac:dyDescent="0.45">
      <c r="A16" s="87" t="s">
        <v>165</v>
      </c>
      <c r="B16" s="95" t="s">
        <v>473</v>
      </c>
      <c r="C16" s="95" t="s">
        <v>473</v>
      </c>
      <c r="D16" s="95">
        <f t="shared" si="2"/>
        <v>240</v>
      </c>
      <c r="E16" s="95">
        <f t="shared" si="3"/>
        <v>240</v>
      </c>
    </row>
    <row r="17" spans="1:5" x14ac:dyDescent="0.45">
      <c r="A17" s="87" t="s">
        <v>166</v>
      </c>
      <c r="B17" s="95">
        <v>100</v>
      </c>
      <c r="C17" s="95"/>
      <c r="D17" s="95">
        <f t="shared" si="2"/>
        <v>256</v>
      </c>
      <c r="E17" s="95"/>
    </row>
    <row r="18" spans="1:5" x14ac:dyDescent="0.45">
      <c r="A18" s="87" t="s">
        <v>167</v>
      </c>
      <c r="B18" s="95">
        <v>110</v>
      </c>
      <c r="C18" s="95">
        <v>110</v>
      </c>
      <c r="D18" s="95">
        <f t="shared" si="2"/>
        <v>272</v>
      </c>
      <c r="E18" s="95">
        <f t="shared" si="3"/>
        <v>272</v>
      </c>
    </row>
    <row r="19" spans="1:5" x14ac:dyDescent="0.45">
      <c r="A19" s="87" t="s">
        <v>345</v>
      </c>
      <c r="B19" s="95"/>
      <c r="C19" s="95">
        <v>170</v>
      </c>
      <c r="D19" s="95"/>
      <c r="E19" s="95">
        <f t="shared" si="3"/>
        <v>368</v>
      </c>
    </row>
    <row r="20" spans="1:5" x14ac:dyDescent="0.45">
      <c r="A20" s="87" t="s">
        <v>510</v>
      </c>
      <c r="B20" s="95">
        <v>120</v>
      </c>
      <c r="C20" s="348" t="s">
        <v>512</v>
      </c>
      <c r="D20" s="95">
        <f t="shared" si="2"/>
        <v>288</v>
      </c>
      <c r="E20" s="95">
        <f t="shared" si="3"/>
        <v>480</v>
      </c>
    </row>
    <row r="21" spans="1:5" x14ac:dyDescent="0.45">
      <c r="A21" s="87" t="s">
        <v>550</v>
      </c>
      <c r="B21" s="95">
        <v>130</v>
      </c>
      <c r="C21" s="95">
        <v>220</v>
      </c>
      <c r="D21" s="95">
        <f t="shared" si="2"/>
        <v>304</v>
      </c>
      <c r="E21" s="95">
        <f t="shared" si="3"/>
        <v>544</v>
      </c>
    </row>
    <row r="22" spans="1:5" x14ac:dyDescent="0.45">
      <c r="A22" s="368" t="s">
        <v>803</v>
      </c>
      <c r="B22" s="87"/>
      <c r="C22" s="96">
        <v>230</v>
      </c>
      <c r="D22" s="87"/>
      <c r="E22" s="96">
        <f t="shared" si="3"/>
        <v>560</v>
      </c>
    </row>
    <row r="23" spans="1:5" x14ac:dyDescent="0.45">
      <c r="A23" s="368" t="s">
        <v>838</v>
      </c>
      <c r="B23" s="96">
        <v>140</v>
      </c>
      <c r="C23" s="96">
        <v>240</v>
      </c>
      <c r="D23" s="96">
        <f t="shared" si="3"/>
        <v>320</v>
      </c>
      <c r="E23" s="96">
        <f t="shared" si="3"/>
        <v>576</v>
      </c>
    </row>
    <row r="24" spans="1:5" x14ac:dyDescent="0.45">
      <c r="A24" s="249" t="s">
        <v>851</v>
      </c>
      <c r="B24" s="419">
        <v>150</v>
      </c>
      <c r="C24" s="419">
        <v>250</v>
      </c>
      <c r="D24" s="96">
        <f t="shared" si="3"/>
        <v>336</v>
      </c>
      <c r="E24" s="419">
        <f t="shared" si="3"/>
        <v>592</v>
      </c>
    </row>
    <row r="53" spans="12:16" x14ac:dyDescent="0.45">
      <c r="L53" s="86"/>
      <c r="O53" s="87"/>
      <c r="P53" s="86"/>
    </row>
    <row r="294" spans="6:6" x14ac:dyDescent="0.45">
      <c r="F294" t="s">
        <v>715</v>
      </c>
    </row>
    <row r="295" spans="6:6" x14ac:dyDescent="0.45">
      <c r="F295" t="s">
        <v>716</v>
      </c>
    </row>
    <row r="310" spans="4:16" x14ac:dyDescent="0.45">
      <c r="D310" t="s">
        <v>721</v>
      </c>
      <c r="F310" t="s">
        <v>722</v>
      </c>
      <c r="G310" t="s">
        <v>655</v>
      </c>
      <c r="J310" t="s">
        <v>391</v>
      </c>
      <c r="L310">
        <v>1</v>
      </c>
      <c r="N310" t="s">
        <v>391</v>
      </c>
      <c r="P310">
        <v>1</v>
      </c>
    </row>
    <row r="317" spans="4:16" ht="46.5" customHeight="1" x14ac:dyDescent="0.45">
      <c r="F317" t="s">
        <v>278</v>
      </c>
    </row>
    <row r="374" spans="6:6" x14ac:dyDescent="0.45">
      <c r="F374" t="s">
        <v>718</v>
      </c>
    </row>
    <row r="375" spans="6:6" x14ac:dyDescent="0.45">
      <c r="F375" t="s">
        <v>717</v>
      </c>
    </row>
    <row r="376" spans="6:6" x14ac:dyDescent="0.45">
      <c r="F376" t="s">
        <v>719</v>
      </c>
    </row>
    <row r="377" spans="6:6" x14ac:dyDescent="0.45">
      <c r="F377" t="s">
        <v>720</v>
      </c>
    </row>
    <row r="392" spans="4:12" x14ac:dyDescent="0.45">
      <c r="D392" t="s">
        <v>721</v>
      </c>
      <c r="F392" t="s">
        <v>722</v>
      </c>
      <c r="J392" t="s">
        <v>391</v>
      </c>
      <c r="L392">
        <v>1</v>
      </c>
    </row>
    <row r="393" spans="4:12" x14ac:dyDescent="0.45">
      <c r="J393" t="s">
        <v>545</v>
      </c>
      <c r="L393">
        <v>0</v>
      </c>
    </row>
    <row r="424" spans="3:3" x14ac:dyDescent="0.45">
      <c r="C424" t="str">
        <f>CONCATENATE("0x", DEC2HEX(1+HEX2DEC('inicio zonas'!$B$13)))</f>
        <v>0xC1</v>
      </c>
    </row>
    <row r="425" spans="3:3" x14ac:dyDescent="0.45">
      <c r="C425" t="str">
        <f>CONCATENATE("0x", DEC2HEX(2+HEX2DEC('inicio zonas'!$B$13)))</f>
        <v>0xC2</v>
      </c>
    </row>
    <row r="591" spans="6:6" x14ac:dyDescent="0.45">
      <c r="F591" t="s">
        <v>687</v>
      </c>
    </row>
    <row r="592" spans="6:6" x14ac:dyDescent="0.45">
      <c r="F592" t="s">
        <v>686</v>
      </c>
    </row>
    <row r="610" spans="6:6" x14ac:dyDescent="0.45">
      <c r="F610" t="s">
        <v>687</v>
      </c>
    </row>
    <row r="611" spans="6:6" x14ac:dyDescent="0.45">
      <c r="F611" t="s">
        <v>686</v>
      </c>
    </row>
    <row r="629" spans="6:6" x14ac:dyDescent="0.45">
      <c r="F629" t="s">
        <v>687</v>
      </c>
    </row>
    <row r="630" spans="6:6" x14ac:dyDescent="0.45">
      <c r="F630" t="s">
        <v>686</v>
      </c>
    </row>
    <row r="648" spans="6:6" x14ac:dyDescent="0.45">
      <c r="F648" t="s">
        <v>687</v>
      </c>
    </row>
    <row r="649" spans="6:6" x14ac:dyDescent="0.45">
      <c r="F649" t="s">
        <v>686</v>
      </c>
    </row>
  </sheetData>
  <mergeCells count="2">
    <mergeCell ref="D2:E2"/>
    <mergeCell ref="B2:C2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input</vt:lpstr>
      <vt:lpstr>holding</vt:lpstr>
      <vt:lpstr>inicio zonas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Miguel.Angel</dc:creator>
  <cp:lastModifiedBy>Administrador</cp:lastModifiedBy>
  <cp:lastPrinted>2018-02-23T09:31:54Z</cp:lastPrinted>
  <dcterms:created xsi:type="dcterms:W3CDTF">2016-02-03T08:15:27Z</dcterms:created>
  <dcterms:modified xsi:type="dcterms:W3CDTF">2021-07-23T09:29:43Z</dcterms:modified>
</cp:coreProperties>
</file>